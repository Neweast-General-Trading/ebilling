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ink/ink1.xml" ContentType="application/inkml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ink/ink2.xml" ContentType="application/inkml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threadedComments/threadedComment2.xml" ContentType="application/vnd.ms-excel.threadedcomments+xml"/>
  <Override PartName="/xl/ink/ink3.xml" ContentType="application/inkml+xml"/>
  <Override PartName="/xl/drawings/drawing4.xml" ContentType="application/vnd.openxmlformats-officedocument.drawing+xml"/>
  <Override PartName="/xl/comments7.xml" ContentType="application/vnd.openxmlformats-officedocument.spreadsheetml.comments+xml"/>
  <Override PartName="/xl/threadedComments/threadedComment3.xml" ContentType="application/vnd.ms-excel.threadedcomments+xml"/>
  <Override PartName="/xl/ink/ink4.xml" ContentType="application/inkml+xml"/>
  <Override PartName="/xl/drawings/drawing5.xml" ContentType="application/vnd.openxmlformats-officedocument.drawing+xml"/>
  <Override PartName="/xl/comments8.xml" ContentType="application/vnd.openxmlformats-officedocument.spreadsheetml.comments+xml"/>
  <Override PartName="/xl/ink/ink5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rptechsolutions-my.sharepoint.com/personal/info_hq_neweast_co/Documents/IMPORTANT FILES/BILLS PAYMENT/ADMIN BILLS/UTILITY BILLS 2026/"/>
    </mc:Choice>
  </mc:AlternateContent>
  <xr:revisionPtr revIDLastSave="4082" documentId="8_{96B0D731-AE71-45DE-8839-47DBFDBED5E9}" xr6:coauthVersionLast="47" xr6:coauthVersionMax="47" xr10:uidLastSave="{9154C435-BB4D-4BDA-9661-1411DF5A3EB8}"/>
  <bookViews>
    <workbookView xWindow="15990" yWindow="420" windowWidth="12915" windowHeight="14415" tabRatio="377" firstSheet="8" activeTab="8" xr2:uid="{00000000-000D-0000-FFFF-FFFF00000000}"/>
  </bookViews>
  <sheets>
    <sheet name="Sheet2" sheetId="14" state="hidden" r:id="rId1"/>
    <sheet name="Sheet3" sheetId="15" state="hidden" r:id="rId2"/>
    <sheet name="Sheet1" sheetId="16" state="hidden" r:id="rId3"/>
    <sheet name="ETISALAT JUNE 2025 FINAL" sheetId="39" state="hidden" r:id="rId4"/>
    <sheet name="ETISALAT JANUARY 2026" sheetId="47" r:id="rId5"/>
    <sheet name="ETISALAT FEBRUARY 2026" sheetId="48" r:id="rId6"/>
    <sheet name="ETISALAT MARCH 2026" sheetId="50" r:id="rId7"/>
    <sheet name="ETISALAT APRIL 2026a" sheetId="52" r:id="rId8"/>
    <sheet name="ETISALAT MAY 2026" sheetId="53" r:id="rId9"/>
    <sheet name="Sheet4" sheetId="54" r:id="rId10"/>
  </sheets>
  <definedNames>
    <definedName name="_xlnm._FilterDatabase" localSheetId="7" hidden="1">'ETISALAT APRIL 2026a'!$A$2:$P$329</definedName>
    <definedName name="_xlnm._FilterDatabase" localSheetId="8" hidden="1">'ETISALAT MAY 2026'!$A$2:$P$327</definedName>
    <definedName name="_xlnm.Print_Area" localSheetId="3">'ETISALAT JUNE 2025 FINAL'!$A$1:$N$286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3" i="53" l="1"/>
  <c r="H253" i="53"/>
  <c r="I253" i="53"/>
  <c r="F253" i="53"/>
  <c r="J242" i="53"/>
  <c r="L242" i="53" s="1"/>
  <c r="J243" i="53"/>
  <c r="L243" i="53"/>
  <c r="J244" i="53"/>
  <c r="L244" i="53" s="1"/>
  <c r="J245" i="53"/>
  <c r="L245" i="53"/>
  <c r="J246" i="53"/>
  <c r="L246" i="53"/>
  <c r="J247" i="53"/>
  <c r="L247" i="53"/>
  <c r="J248" i="53"/>
  <c r="L248" i="53"/>
  <c r="J249" i="53"/>
  <c r="L249" i="53"/>
  <c r="K90" i="53"/>
  <c r="K253" i="53" s="1"/>
  <c r="J252" i="53"/>
  <c r="L252" i="53" s="1"/>
  <c r="J326" i="53"/>
  <c r="L326" i="53" s="1"/>
  <c r="J325" i="53"/>
  <c r="L325" i="53" s="1"/>
  <c r="J324" i="53"/>
  <c r="L324" i="53" s="1"/>
  <c r="J323" i="53"/>
  <c r="L323" i="53" s="1"/>
  <c r="J322" i="53"/>
  <c r="L322" i="53" s="1"/>
  <c r="J321" i="53"/>
  <c r="L321" i="53" s="1"/>
  <c r="J320" i="53"/>
  <c r="L320" i="53" s="1"/>
  <c r="J319" i="53"/>
  <c r="L319" i="53" s="1"/>
  <c r="A319" i="53"/>
  <c r="A320" i="53" s="1"/>
  <c r="A321" i="53" s="1"/>
  <c r="A322" i="53" s="1"/>
  <c r="A323" i="53" s="1"/>
  <c r="A324" i="53" s="1"/>
  <c r="A325" i="53" s="1"/>
  <c r="A326" i="53" s="1"/>
  <c r="J318" i="53"/>
  <c r="L318" i="53" s="1"/>
  <c r="J317" i="53"/>
  <c r="L317" i="53" s="1"/>
  <c r="K315" i="53"/>
  <c r="I315" i="53"/>
  <c r="H315" i="53"/>
  <c r="G315" i="53"/>
  <c r="F315" i="53"/>
  <c r="J314" i="53"/>
  <c r="L314" i="53" s="1"/>
  <c r="J313" i="53"/>
  <c r="L313" i="53" s="1"/>
  <c r="J312" i="53"/>
  <c r="L312" i="53" s="1"/>
  <c r="J311" i="53"/>
  <c r="L311" i="53" s="1"/>
  <c r="J310" i="53"/>
  <c r="L310" i="53" s="1"/>
  <c r="J309" i="53"/>
  <c r="L309" i="53" s="1"/>
  <c r="J308" i="53"/>
  <c r="L308" i="53" s="1"/>
  <c r="J307" i="53"/>
  <c r="L307" i="53" s="1"/>
  <c r="J306" i="53"/>
  <c r="L306" i="53" s="1"/>
  <c r="J305" i="53"/>
  <c r="L305" i="53" s="1"/>
  <c r="J304" i="53"/>
  <c r="L304" i="53" s="1"/>
  <c r="J303" i="53"/>
  <c r="L303" i="53" s="1"/>
  <c r="J302" i="53"/>
  <c r="L302" i="53" s="1"/>
  <c r="J301" i="53"/>
  <c r="L301" i="53" s="1"/>
  <c r="J300" i="53"/>
  <c r="L300" i="53" s="1"/>
  <c r="J299" i="53"/>
  <c r="L299" i="53" s="1"/>
  <c r="J54" i="53"/>
  <c r="L54" i="53" s="1"/>
  <c r="J298" i="53"/>
  <c r="L298" i="53" s="1"/>
  <c r="J297" i="53"/>
  <c r="L297" i="53" s="1"/>
  <c r="J296" i="53"/>
  <c r="L296" i="53" s="1"/>
  <c r="J295" i="53"/>
  <c r="L295" i="53" s="1"/>
  <c r="J294" i="53"/>
  <c r="L294" i="53" s="1"/>
  <c r="J293" i="53"/>
  <c r="L293" i="53" s="1"/>
  <c r="J292" i="53"/>
  <c r="L292" i="53" s="1"/>
  <c r="J291" i="53"/>
  <c r="L291" i="53" s="1"/>
  <c r="J290" i="53"/>
  <c r="L290" i="53" s="1"/>
  <c r="J289" i="53"/>
  <c r="L289" i="53" s="1"/>
  <c r="J288" i="53"/>
  <c r="L288" i="53" s="1"/>
  <c r="J287" i="53"/>
  <c r="L287" i="53" s="1"/>
  <c r="J286" i="53"/>
  <c r="L286" i="53" s="1"/>
  <c r="J285" i="53"/>
  <c r="L285" i="53" s="1"/>
  <c r="J284" i="53"/>
  <c r="L284" i="53" s="1"/>
  <c r="J283" i="53"/>
  <c r="L283" i="53" s="1"/>
  <c r="J282" i="53"/>
  <c r="L282" i="53" s="1"/>
  <c r="J281" i="53"/>
  <c r="L281" i="53" s="1"/>
  <c r="J280" i="53"/>
  <c r="L280" i="53" s="1"/>
  <c r="J279" i="53"/>
  <c r="L279" i="53" s="1"/>
  <c r="J278" i="53"/>
  <c r="L278" i="53" s="1"/>
  <c r="J277" i="53"/>
  <c r="L277" i="53" s="1"/>
  <c r="J276" i="53"/>
  <c r="L276" i="53" s="1"/>
  <c r="J275" i="53"/>
  <c r="L275" i="53" s="1"/>
  <c r="J274" i="53"/>
  <c r="L274" i="53" s="1"/>
  <c r="J273" i="53"/>
  <c r="L273" i="53" s="1"/>
  <c r="J272" i="53"/>
  <c r="L272" i="53" s="1"/>
  <c r="J271" i="53"/>
  <c r="L271" i="53" s="1"/>
  <c r="J270" i="53"/>
  <c r="L270" i="53" s="1"/>
  <c r="J269" i="53"/>
  <c r="L269" i="53" s="1"/>
  <c r="J268" i="53"/>
  <c r="L268" i="53" s="1"/>
  <c r="J267" i="53"/>
  <c r="L267" i="53" s="1"/>
  <c r="J266" i="53"/>
  <c r="L266" i="53" s="1"/>
  <c r="J265" i="53"/>
  <c r="L265" i="53" s="1"/>
  <c r="J264" i="53"/>
  <c r="L264" i="53" s="1"/>
  <c r="J263" i="53"/>
  <c r="L263" i="53" s="1"/>
  <c r="J262" i="53"/>
  <c r="L262" i="53" s="1"/>
  <c r="J261" i="53"/>
  <c r="L261" i="53" s="1"/>
  <c r="J260" i="53"/>
  <c r="L260" i="53" s="1"/>
  <c r="J259" i="53"/>
  <c r="L259" i="53" s="1"/>
  <c r="J258" i="53"/>
  <c r="L258" i="53" s="1"/>
  <c r="J257" i="53"/>
  <c r="L257" i="53" s="1"/>
  <c r="A257" i="53"/>
  <c r="A258" i="53" s="1"/>
  <c r="A259" i="53" s="1"/>
  <c r="A260" i="53" s="1"/>
  <c r="A261" i="53" s="1"/>
  <c r="A262" i="53" s="1"/>
  <c r="A263" i="53" s="1"/>
  <c r="A264" i="53" s="1"/>
  <c r="A265" i="53" s="1"/>
  <c r="A266" i="53" s="1"/>
  <c r="A267" i="53" s="1"/>
  <c r="A268" i="53" s="1"/>
  <c r="A269" i="53" s="1"/>
  <c r="A270" i="53" s="1"/>
  <c r="A271" i="53" s="1"/>
  <c r="A272" i="53" s="1"/>
  <c r="A273" i="53" s="1"/>
  <c r="A274" i="53" s="1"/>
  <c r="A275" i="53" s="1"/>
  <c r="A276" i="53" s="1"/>
  <c r="A277" i="53" s="1"/>
  <c r="A278" i="53" s="1"/>
  <c r="J256" i="53"/>
  <c r="L256" i="53" s="1"/>
  <c r="J251" i="53"/>
  <c r="L251" i="53" s="1"/>
  <c r="J250" i="53"/>
  <c r="L250" i="53" s="1"/>
  <c r="J241" i="53"/>
  <c r="L241" i="53" s="1"/>
  <c r="J240" i="53"/>
  <c r="L240" i="53" s="1"/>
  <c r="J238" i="53"/>
  <c r="L238" i="53" s="1"/>
  <c r="J237" i="53"/>
  <c r="L237" i="53" s="1"/>
  <c r="J236" i="53"/>
  <c r="L236" i="53" s="1"/>
  <c r="J235" i="53"/>
  <c r="L235" i="53" s="1"/>
  <c r="J234" i="53"/>
  <c r="L234" i="53" s="1"/>
  <c r="J233" i="53"/>
  <c r="L233" i="53" s="1"/>
  <c r="J232" i="53"/>
  <c r="L232" i="53" s="1"/>
  <c r="J231" i="53"/>
  <c r="L231" i="53" s="1"/>
  <c r="J230" i="53"/>
  <c r="L230" i="53" s="1"/>
  <c r="J229" i="53"/>
  <c r="L229" i="53" s="1"/>
  <c r="J228" i="53"/>
  <c r="L228" i="53" s="1"/>
  <c r="J227" i="53"/>
  <c r="L227" i="53" s="1"/>
  <c r="J226" i="53"/>
  <c r="L226" i="53" s="1"/>
  <c r="J225" i="53"/>
  <c r="L225" i="53" s="1"/>
  <c r="J224" i="53"/>
  <c r="L224" i="53" s="1"/>
  <c r="J223" i="53"/>
  <c r="L223" i="53" s="1"/>
  <c r="J222" i="53"/>
  <c r="L222" i="53" s="1"/>
  <c r="J221" i="53"/>
  <c r="L221" i="53" s="1"/>
  <c r="J220" i="53"/>
  <c r="L220" i="53" s="1"/>
  <c r="J219" i="53"/>
  <c r="L219" i="53" s="1"/>
  <c r="J218" i="53"/>
  <c r="L218" i="53" s="1"/>
  <c r="J217" i="53"/>
  <c r="L217" i="53" s="1"/>
  <c r="J216" i="53"/>
  <c r="L216" i="53" s="1"/>
  <c r="J215" i="53"/>
  <c r="L215" i="53" s="1"/>
  <c r="J214" i="53"/>
  <c r="L214" i="53" s="1"/>
  <c r="J213" i="53"/>
  <c r="L213" i="53" s="1"/>
  <c r="J212" i="53"/>
  <c r="L212" i="53" s="1"/>
  <c r="J211" i="53"/>
  <c r="L211" i="53" s="1"/>
  <c r="J210" i="53"/>
  <c r="L210" i="53" s="1"/>
  <c r="J209" i="53"/>
  <c r="L209" i="53" s="1"/>
  <c r="J208" i="53"/>
  <c r="L208" i="53" s="1"/>
  <c r="J207" i="53"/>
  <c r="L207" i="53" s="1"/>
  <c r="J206" i="53"/>
  <c r="L206" i="53" s="1"/>
  <c r="J205" i="53"/>
  <c r="L205" i="53" s="1"/>
  <c r="J204" i="53"/>
  <c r="L204" i="53" s="1"/>
  <c r="J203" i="53"/>
  <c r="L203" i="53" s="1"/>
  <c r="J202" i="53"/>
  <c r="L202" i="53" s="1"/>
  <c r="J201" i="53"/>
  <c r="L201" i="53" s="1"/>
  <c r="J200" i="53"/>
  <c r="L200" i="53" s="1"/>
  <c r="J199" i="53"/>
  <c r="L199" i="53" s="1"/>
  <c r="J198" i="53"/>
  <c r="L198" i="53" s="1"/>
  <c r="J197" i="53"/>
  <c r="L197" i="53" s="1"/>
  <c r="J196" i="53"/>
  <c r="L196" i="53" s="1"/>
  <c r="J195" i="53"/>
  <c r="L195" i="53" s="1"/>
  <c r="J194" i="53"/>
  <c r="L194" i="53" s="1"/>
  <c r="J193" i="53"/>
  <c r="L193" i="53" s="1"/>
  <c r="J192" i="53"/>
  <c r="L192" i="53" s="1"/>
  <c r="J191" i="53"/>
  <c r="L191" i="53" s="1"/>
  <c r="J190" i="53"/>
  <c r="L190" i="53" s="1"/>
  <c r="J189" i="53"/>
  <c r="L189" i="53" s="1"/>
  <c r="J188" i="53"/>
  <c r="L188" i="53" s="1"/>
  <c r="J187" i="53"/>
  <c r="L187" i="53" s="1"/>
  <c r="J186" i="53"/>
  <c r="L186" i="53" s="1"/>
  <c r="J185" i="53"/>
  <c r="L185" i="53" s="1"/>
  <c r="J184" i="53"/>
  <c r="L184" i="53" s="1"/>
  <c r="J183" i="53"/>
  <c r="L183" i="53" s="1"/>
  <c r="J182" i="53"/>
  <c r="L182" i="53" s="1"/>
  <c r="J181" i="53"/>
  <c r="L181" i="53" s="1"/>
  <c r="J180" i="53"/>
  <c r="L180" i="53" s="1"/>
  <c r="J179" i="53"/>
  <c r="L179" i="53" s="1"/>
  <c r="J178" i="53"/>
  <c r="L178" i="53" s="1"/>
  <c r="J177" i="53"/>
  <c r="L177" i="53" s="1"/>
  <c r="J176" i="53"/>
  <c r="L176" i="53" s="1"/>
  <c r="J175" i="53"/>
  <c r="L175" i="53" s="1"/>
  <c r="J174" i="53"/>
  <c r="L174" i="53" s="1"/>
  <c r="J173" i="53"/>
  <c r="L173" i="53" s="1"/>
  <c r="J172" i="53"/>
  <c r="L172" i="53" s="1"/>
  <c r="J171" i="53"/>
  <c r="L171" i="53" s="1"/>
  <c r="J170" i="53"/>
  <c r="L170" i="53" s="1"/>
  <c r="J169" i="53"/>
  <c r="L169" i="53" s="1"/>
  <c r="J168" i="53"/>
  <c r="L168" i="53" s="1"/>
  <c r="J167" i="53"/>
  <c r="L167" i="53" s="1"/>
  <c r="J166" i="53"/>
  <c r="L166" i="53" s="1"/>
  <c r="J165" i="53"/>
  <c r="L165" i="53" s="1"/>
  <c r="J164" i="53"/>
  <c r="L164" i="53" s="1"/>
  <c r="J163" i="53"/>
  <c r="L163" i="53" s="1"/>
  <c r="J162" i="53"/>
  <c r="L162" i="53" s="1"/>
  <c r="J161" i="53"/>
  <c r="L161" i="53" s="1"/>
  <c r="J160" i="53"/>
  <c r="L160" i="53" s="1"/>
  <c r="J159" i="53"/>
  <c r="L159" i="53" s="1"/>
  <c r="J158" i="53"/>
  <c r="L158" i="53" s="1"/>
  <c r="J157" i="53"/>
  <c r="L157" i="53" s="1"/>
  <c r="J156" i="53"/>
  <c r="L156" i="53" s="1"/>
  <c r="J155" i="53"/>
  <c r="L155" i="53" s="1"/>
  <c r="J154" i="53"/>
  <c r="L154" i="53" s="1"/>
  <c r="J153" i="53"/>
  <c r="L153" i="53" s="1"/>
  <c r="J152" i="53"/>
  <c r="L152" i="53" s="1"/>
  <c r="J151" i="53"/>
  <c r="L151" i="53" s="1"/>
  <c r="J150" i="53"/>
  <c r="L150" i="53" s="1"/>
  <c r="J149" i="53"/>
  <c r="L149" i="53" s="1"/>
  <c r="J148" i="53"/>
  <c r="L148" i="53" s="1"/>
  <c r="J147" i="53"/>
  <c r="L147" i="53" s="1"/>
  <c r="J146" i="53"/>
  <c r="L146" i="53" s="1"/>
  <c r="J145" i="53"/>
  <c r="L145" i="53" s="1"/>
  <c r="J144" i="53"/>
  <c r="L144" i="53" s="1"/>
  <c r="J143" i="53"/>
  <c r="L143" i="53" s="1"/>
  <c r="J142" i="53"/>
  <c r="L142" i="53" s="1"/>
  <c r="J141" i="53"/>
  <c r="L141" i="53" s="1"/>
  <c r="J140" i="53"/>
  <c r="L140" i="53" s="1"/>
  <c r="J139" i="53"/>
  <c r="L139" i="53" s="1"/>
  <c r="J138" i="53"/>
  <c r="L138" i="53" s="1"/>
  <c r="J137" i="53"/>
  <c r="L137" i="53" s="1"/>
  <c r="J136" i="53"/>
  <c r="L136" i="53" s="1"/>
  <c r="J135" i="53"/>
  <c r="L135" i="53" s="1"/>
  <c r="J134" i="53"/>
  <c r="L134" i="53" s="1"/>
  <c r="J133" i="53"/>
  <c r="L133" i="53" s="1"/>
  <c r="J132" i="53"/>
  <c r="L132" i="53" s="1"/>
  <c r="J131" i="53"/>
  <c r="L131" i="53" s="1"/>
  <c r="J130" i="53"/>
  <c r="L130" i="53" s="1"/>
  <c r="J129" i="53"/>
  <c r="L129" i="53" s="1"/>
  <c r="J128" i="53"/>
  <c r="L128" i="53" s="1"/>
  <c r="J127" i="53"/>
  <c r="L127" i="53" s="1"/>
  <c r="J126" i="53"/>
  <c r="L126" i="53" s="1"/>
  <c r="J125" i="53"/>
  <c r="L125" i="53" s="1"/>
  <c r="J124" i="53"/>
  <c r="L124" i="53" s="1"/>
  <c r="J123" i="53"/>
  <c r="L123" i="53" s="1"/>
  <c r="J122" i="53"/>
  <c r="L122" i="53" s="1"/>
  <c r="J121" i="53"/>
  <c r="L121" i="53" s="1"/>
  <c r="J120" i="53"/>
  <c r="L120" i="53" s="1"/>
  <c r="J119" i="53"/>
  <c r="L119" i="53" s="1"/>
  <c r="J118" i="53"/>
  <c r="L118" i="53" s="1"/>
  <c r="J117" i="53"/>
  <c r="L117" i="53" s="1"/>
  <c r="J116" i="53"/>
  <c r="L116" i="53" s="1"/>
  <c r="J115" i="53"/>
  <c r="L115" i="53" s="1"/>
  <c r="J114" i="53"/>
  <c r="L114" i="53" s="1"/>
  <c r="J113" i="53"/>
  <c r="L113" i="53" s="1"/>
  <c r="J112" i="53"/>
  <c r="L112" i="53" s="1"/>
  <c r="J111" i="53"/>
  <c r="L111" i="53" s="1"/>
  <c r="J110" i="53"/>
  <c r="L110" i="53" s="1"/>
  <c r="J109" i="53"/>
  <c r="L109" i="53" s="1"/>
  <c r="J108" i="53"/>
  <c r="L108" i="53" s="1"/>
  <c r="J107" i="53"/>
  <c r="L107" i="53" s="1"/>
  <c r="J106" i="53"/>
  <c r="L106" i="53" s="1"/>
  <c r="J105" i="53"/>
  <c r="L105" i="53" s="1"/>
  <c r="J104" i="53"/>
  <c r="L104" i="53" s="1"/>
  <c r="J103" i="53"/>
  <c r="L103" i="53" s="1"/>
  <c r="J102" i="53"/>
  <c r="L102" i="53" s="1"/>
  <c r="J101" i="53"/>
  <c r="L101" i="53" s="1"/>
  <c r="J100" i="53"/>
  <c r="L100" i="53" s="1"/>
  <c r="J99" i="53"/>
  <c r="L99" i="53" s="1"/>
  <c r="J98" i="53"/>
  <c r="L98" i="53" s="1"/>
  <c r="J97" i="53"/>
  <c r="L97" i="53" s="1"/>
  <c r="J96" i="53"/>
  <c r="L96" i="53" s="1"/>
  <c r="J95" i="53"/>
  <c r="L95" i="53" s="1"/>
  <c r="J94" i="53"/>
  <c r="L94" i="53" s="1"/>
  <c r="J93" i="53"/>
  <c r="L93" i="53" s="1"/>
  <c r="J92" i="53"/>
  <c r="L92" i="53" s="1"/>
  <c r="J91" i="53"/>
  <c r="L91" i="53" s="1"/>
  <c r="J90" i="53"/>
  <c r="J89" i="53"/>
  <c r="L89" i="53" s="1"/>
  <c r="J88" i="53"/>
  <c r="L88" i="53" s="1"/>
  <c r="J87" i="53"/>
  <c r="L87" i="53" s="1"/>
  <c r="J86" i="53"/>
  <c r="L86" i="53" s="1"/>
  <c r="J85" i="53"/>
  <c r="L85" i="53" s="1"/>
  <c r="J84" i="53"/>
  <c r="L84" i="53" s="1"/>
  <c r="J83" i="53"/>
  <c r="L83" i="53" s="1"/>
  <c r="J82" i="53"/>
  <c r="L82" i="53" s="1"/>
  <c r="J81" i="53"/>
  <c r="L81" i="53" s="1"/>
  <c r="J80" i="53"/>
  <c r="L80" i="53" s="1"/>
  <c r="J79" i="53"/>
  <c r="L79" i="53" s="1"/>
  <c r="J78" i="53"/>
  <c r="L78" i="53" s="1"/>
  <c r="J77" i="53"/>
  <c r="L77" i="53" s="1"/>
  <c r="J76" i="53"/>
  <c r="L76" i="53" s="1"/>
  <c r="J75" i="53"/>
  <c r="L75" i="53" s="1"/>
  <c r="J74" i="53"/>
  <c r="L74" i="53" s="1"/>
  <c r="J73" i="53"/>
  <c r="L73" i="53" s="1"/>
  <c r="J72" i="53"/>
  <c r="L72" i="53" s="1"/>
  <c r="J71" i="53"/>
  <c r="L71" i="53" s="1"/>
  <c r="J70" i="53"/>
  <c r="L70" i="53" s="1"/>
  <c r="J69" i="53"/>
  <c r="L69" i="53" s="1"/>
  <c r="J68" i="53"/>
  <c r="L68" i="53" s="1"/>
  <c r="J67" i="53"/>
  <c r="L67" i="53" s="1"/>
  <c r="J66" i="53"/>
  <c r="L66" i="53" s="1"/>
  <c r="J65" i="53"/>
  <c r="L65" i="53" s="1"/>
  <c r="J64" i="53"/>
  <c r="L64" i="53" s="1"/>
  <c r="J63" i="53"/>
  <c r="L63" i="53" s="1"/>
  <c r="J62" i="53"/>
  <c r="L62" i="53" s="1"/>
  <c r="J61" i="53"/>
  <c r="L61" i="53" s="1"/>
  <c r="J60" i="53"/>
  <c r="L60" i="53" s="1"/>
  <c r="J59" i="53"/>
  <c r="L59" i="53" s="1"/>
  <c r="J58" i="53"/>
  <c r="L58" i="53" s="1"/>
  <c r="J57" i="53"/>
  <c r="L57" i="53" s="1"/>
  <c r="J56" i="53"/>
  <c r="L56" i="53" s="1"/>
  <c r="J55" i="53"/>
  <c r="L55" i="53" s="1"/>
  <c r="J53" i="53"/>
  <c r="L53" i="53" s="1"/>
  <c r="J52" i="53"/>
  <c r="L52" i="53" s="1"/>
  <c r="J51" i="53"/>
  <c r="L51" i="53" s="1"/>
  <c r="J50" i="53"/>
  <c r="L50" i="53" s="1"/>
  <c r="J49" i="53"/>
  <c r="L49" i="53" s="1"/>
  <c r="J48" i="53"/>
  <c r="L48" i="53" s="1"/>
  <c r="J47" i="53"/>
  <c r="L47" i="53" s="1"/>
  <c r="J46" i="53"/>
  <c r="L46" i="53" s="1"/>
  <c r="J45" i="53"/>
  <c r="L45" i="53" s="1"/>
  <c r="J44" i="53"/>
  <c r="L44" i="53" s="1"/>
  <c r="J43" i="53"/>
  <c r="L43" i="53" s="1"/>
  <c r="J42" i="53"/>
  <c r="L42" i="53" s="1"/>
  <c r="J41" i="53"/>
  <c r="L41" i="53" s="1"/>
  <c r="J40" i="53"/>
  <c r="L40" i="53" s="1"/>
  <c r="J39" i="53"/>
  <c r="L39" i="53" s="1"/>
  <c r="J38" i="53"/>
  <c r="L38" i="53" s="1"/>
  <c r="J37" i="53"/>
  <c r="L37" i="53" s="1"/>
  <c r="J36" i="53"/>
  <c r="L36" i="53" s="1"/>
  <c r="J35" i="53"/>
  <c r="L35" i="53" s="1"/>
  <c r="J34" i="53"/>
  <c r="L34" i="53" s="1"/>
  <c r="J33" i="53"/>
  <c r="L33" i="53" s="1"/>
  <c r="J32" i="53"/>
  <c r="L32" i="53" s="1"/>
  <c r="J31" i="53"/>
  <c r="L31" i="53" s="1"/>
  <c r="J30" i="53"/>
  <c r="L30" i="53" s="1"/>
  <c r="J29" i="53"/>
  <c r="L29" i="53" s="1"/>
  <c r="J28" i="53"/>
  <c r="L28" i="53" s="1"/>
  <c r="J27" i="53"/>
  <c r="L27" i="53" s="1"/>
  <c r="J26" i="53"/>
  <c r="L26" i="53" s="1"/>
  <c r="J25" i="53"/>
  <c r="L25" i="53" s="1"/>
  <c r="J24" i="53"/>
  <c r="L24" i="53" s="1"/>
  <c r="J23" i="53"/>
  <c r="L23" i="53" s="1"/>
  <c r="J22" i="53"/>
  <c r="L22" i="53" s="1"/>
  <c r="J21" i="53"/>
  <c r="L21" i="53" s="1"/>
  <c r="J20" i="53"/>
  <c r="L20" i="53" s="1"/>
  <c r="J19" i="53"/>
  <c r="L19" i="53" s="1"/>
  <c r="J18" i="53"/>
  <c r="L18" i="53" s="1"/>
  <c r="J17" i="53"/>
  <c r="L17" i="53" s="1"/>
  <c r="J16" i="53"/>
  <c r="L16" i="53" s="1"/>
  <c r="J15" i="53"/>
  <c r="L15" i="53" s="1"/>
  <c r="J14" i="53"/>
  <c r="L14" i="53" s="1"/>
  <c r="J13" i="53"/>
  <c r="L13" i="53" s="1"/>
  <c r="J12" i="53"/>
  <c r="L12" i="53" s="1"/>
  <c r="J11" i="53"/>
  <c r="L11" i="53" s="1"/>
  <c r="J10" i="53"/>
  <c r="L10" i="53" s="1"/>
  <c r="J9" i="53"/>
  <c r="L9" i="53" s="1"/>
  <c r="J8" i="53"/>
  <c r="L8" i="53" s="1"/>
  <c r="J7" i="53"/>
  <c r="L7" i="53" s="1"/>
  <c r="A7" i="53"/>
  <c r="A8" i="53" s="1"/>
  <c r="A9" i="53" s="1"/>
  <c r="A10" i="53" s="1"/>
  <c r="A11" i="53" s="1"/>
  <c r="A12" i="53" s="1"/>
  <c r="A13" i="53" s="1"/>
  <c r="A14" i="53" s="1"/>
  <c r="A15" i="53" s="1"/>
  <c r="A16" i="53" s="1"/>
  <c r="A17" i="53" s="1"/>
  <c r="A18" i="53" s="1"/>
  <c r="A19" i="53" s="1"/>
  <c r="A20" i="53" s="1"/>
  <c r="A21" i="53" s="1"/>
  <c r="A22" i="53" s="1"/>
  <c r="A23" i="53" s="1"/>
  <c r="A24" i="53" s="1"/>
  <c r="A25" i="53" s="1"/>
  <c r="A26" i="53" s="1"/>
  <c r="A27" i="53" s="1"/>
  <c r="A28" i="53" s="1"/>
  <c r="A29" i="53" s="1"/>
  <c r="A30" i="53" s="1"/>
  <c r="A31" i="53" s="1"/>
  <c r="A32" i="53" s="1"/>
  <c r="A33" i="53" s="1"/>
  <c r="A34" i="53" s="1"/>
  <c r="A35" i="53" s="1"/>
  <c r="A36" i="53" s="1"/>
  <c r="A37" i="53" s="1"/>
  <c r="A38" i="53" s="1"/>
  <c r="A39" i="53" s="1"/>
  <c r="A40" i="53" s="1"/>
  <c r="A41" i="53" s="1"/>
  <c r="A42" i="53" s="1"/>
  <c r="A43" i="53" s="1"/>
  <c r="A44" i="53" s="1"/>
  <c r="A45" i="53" s="1"/>
  <c r="A46" i="53" s="1"/>
  <c r="A47" i="53" s="1"/>
  <c r="A48" i="53" s="1"/>
  <c r="A49" i="53" s="1"/>
  <c r="A50" i="53" s="1"/>
  <c r="A51" i="53" s="1"/>
  <c r="A52" i="53" s="1"/>
  <c r="A53" i="53" s="1"/>
  <c r="A55" i="53" s="1"/>
  <c r="A56" i="53" s="1"/>
  <c r="A57" i="53" s="1"/>
  <c r="A58" i="53" s="1"/>
  <c r="A59" i="53" s="1"/>
  <c r="A60" i="53" s="1"/>
  <c r="A61" i="53" s="1"/>
  <c r="A62" i="53" s="1"/>
  <c r="A63" i="53" s="1"/>
  <c r="A64" i="53" s="1"/>
  <c r="A65" i="53" s="1"/>
  <c r="J6" i="53"/>
  <c r="L118" i="52"/>
  <c r="A118" i="52"/>
  <c r="G317" i="52"/>
  <c r="H317" i="52"/>
  <c r="I317" i="52"/>
  <c r="J317" i="52"/>
  <c r="K317" i="52"/>
  <c r="G253" i="52"/>
  <c r="H253" i="52"/>
  <c r="I253" i="52"/>
  <c r="K253" i="52"/>
  <c r="I240" i="50"/>
  <c r="J240" i="50"/>
  <c r="G240" i="50"/>
  <c r="H240" i="50"/>
  <c r="F240" i="50"/>
  <c r="F304" i="50"/>
  <c r="F253" i="52"/>
  <c r="F329" i="52" s="1"/>
  <c r="A316" i="52"/>
  <c r="A250" i="52"/>
  <c r="A251" i="52"/>
  <c r="A252" i="52"/>
  <c r="F317" i="52"/>
  <c r="J315" i="52"/>
  <c r="L315" i="52" s="1"/>
  <c r="J250" i="52"/>
  <c r="L250" i="52" s="1"/>
  <c r="G244" i="52"/>
  <c r="G248" i="52"/>
  <c r="J248" i="52" s="1"/>
  <c r="L248" i="52" s="1"/>
  <c r="A257" i="52"/>
  <c r="A258" i="52" s="1"/>
  <c r="A259" i="52" s="1"/>
  <c r="A260" i="52" s="1"/>
  <c r="A261" i="52" s="1"/>
  <c r="A262" i="52" s="1"/>
  <c r="A263" i="52" s="1"/>
  <c r="A264" i="52" s="1"/>
  <c r="A265" i="52" s="1"/>
  <c r="A266" i="52" s="1"/>
  <c r="A267" i="52" s="1"/>
  <c r="A268" i="52" s="1"/>
  <c r="A269" i="52" s="1"/>
  <c r="A270" i="52" s="1"/>
  <c r="A271" i="52" s="1"/>
  <c r="A272" i="52" s="1"/>
  <c r="A273" i="52" s="1"/>
  <c r="A274" i="52" s="1"/>
  <c r="A275" i="52" s="1"/>
  <c r="A276" i="52" s="1"/>
  <c r="A277" i="52" s="1"/>
  <c r="A278" i="52" s="1"/>
  <c r="A279" i="52" s="1"/>
  <c r="A280" i="52" s="1"/>
  <c r="A281" i="52" s="1"/>
  <c r="A282" i="52" s="1"/>
  <c r="A283" i="52" s="1"/>
  <c r="A284" i="52" s="1"/>
  <c r="A285" i="52" s="1"/>
  <c r="A286" i="52" s="1"/>
  <c r="A287" i="52" s="1"/>
  <c r="A288" i="52" s="1"/>
  <c r="A289" i="52" s="1"/>
  <c r="A290" i="52" s="1"/>
  <c r="A291" i="52" s="1"/>
  <c r="A292" i="52" s="1"/>
  <c r="A293" i="52" s="1"/>
  <c r="A294" i="52" s="1"/>
  <c r="A295" i="52" s="1"/>
  <c r="A296" i="52" s="1"/>
  <c r="A297" i="52" s="1"/>
  <c r="A298" i="52" s="1"/>
  <c r="A299" i="52" s="1"/>
  <c r="A300" i="52" s="1"/>
  <c r="A301" i="52" s="1"/>
  <c r="A302" i="52" s="1"/>
  <c r="A303" i="52" s="1"/>
  <c r="A304" i="52" s="1"/>
  <c r="A305" i="52" s="1"/>
  <c r="A306" i="52" s="1"/>
  <c r="A307" i="52" s="1"/>
  <c r="A308" i="52" s="1"/>
  <c r="A309" i="52" s="1"/>
  <c r="A310" i="52" s="1"/>
  <c r="A311" i="52" s="1"/>
  <c r="A312" i="52" s="1"/>
  <c r="A313" i="52" s="1"/>
  <c r="A314" i="52" s="1"/>
  <c r="A315" i="52" s="1"/>
  <c r="J274" i="52"/>
  <c r="L274" i="52" s="1"/>
  <c r="J249" i="52"/>
  <c r="L249" i="52" s="1"/>
  <c r="J118" i="52"/>
  <c r="J117" i="52"/>
  <c r="L117" i="52" s="1"/>
  <c r="J247" i="52"/>
  <c r="L247" i="52" s="1"/>
  <c r="J246" i="52"/>
  <c r="L246" i="52" s="1"/>
  <c r="L90" i="53" l="1"/>
  <c r="J253" i="53"/>
  <c r="A279" i="53"/>
  <c r="A280" i="53" s="1"/>
  <c r="A281" i="53" s="1"/>
  <c r="A282" i="53" s="1"/>
  <c r="A283" i="53" s="1"/>
  <c r="A284" i="53" s="1"/>
  <c r="A285" i="53" s="1"/>
  <c r="A286" i="53" s="1"/>
  <c r="A287" i="53" s="1"/>
  <c r="A288" i="53" s="1"/>
  <c r="A289" i="53" s="1"/>
  <c r="A290" i="53" s="1"/>
  <c r="A291" i="53" s="1"/>
  <c r="A292" i="53" s="1"/>
  <c r="A293" i="53" s="1"/>
  <c r="A294" i="53" s="1"/>
  <c r="A295" i="53" s="1"/>
  <c r="A296" i="53" s="1"/>
  <c r="A297" i="53" s="1"/>
  <c r="A298" i="53" s="1"/>
  <c r="A54" i="53" s="1"/>
  <c r="A299" i="53" s="1"/>
  <c r="A300" i="53" s="1"/>
  <c r="A301" i="53" s="1"/>
  <c r="A302" i="53" s="1"/>
  <c r="A303" i="53" s="1"/>
  <c r="A304" i="53" s="1"/>
  <c r="A305" i="53" s="1"/>
  <c r="A306" i="53" s="1"/>
  <c r="A307" i="53" s="1"/>
  <c r="A308" i="53" s="1"/>
  <c r="A309" i="53" s="1"/>
  <c r="A310" i="53" s="1"/>
  <c r="A311" i="53" s="1"/>
  <c r="A312" i="53" s="1"/>
  <c r="A313" i="53" s="1"/>
  <c r="A314" i="53" s="1"/>
  <c r="A66" i="53"/>
  <c r="A67" i="53" s="1"/>
  <c r="A68" i="53" s="1"/>
  <c r="A69" i="53" s="1"/>
  <c r="A70" i="53" s="1"/>
  <c r="A71" i="53" s="1"/>
  <c r="A72" i="53" s="1"/>
  <c r="A73" i="53" s="1"/>
  <c r="A74" i="53" s="1"/>
  <c r="A75" i="53" s="1"/>
  <c r="A76" i="53" s="1"/>
  <c r="A77" i="53" s="1"/>
  <c r="A78" i="53" s="1"/>
  <c r="A79" i="53" s="1"/>
  <c r="A80" i="53" s="1"/>
  <c r="A81" i="53" s="1"/>
  <c r="A82" i="53" s="1"/>
  <c r="A83" i="53" s="1"/>
  <c r="A84" i="53" s="1"/>
  <c r="A85" i="53" s="1"/>
  <c r="A86" i="53" s="1"/>
  <c r="A87" i="53" s="1"/>
  <c r="A88" i="53" s="1"/>
  <c r="A89" i="53" s="1"/>
  <c r="A90" i="53" s="1"/>
  <c r="A91" i="53" s="1"/>
  <c r="A92" i="53" s="1"/>
  <c r="G327" i="53"/>
  <c r="H327" i="53"/>
  <c r="I327" i="53"/>
  <c r="K327" i="53"/>
  <c r="F327" i="53"/>
  <c r="J315" i="53"/>
  <c r="L315" i="53"/>
  <c r="L6" i="53"/>
  <c r="L253" i="53" s="1"/>
  <c r="J239" i="53"/>
  <c r="L239" i="53" s="1"/>
  <c r="J241" i="52"/>
  <c r="L241" i="52" s="1"/>
  <c r="J251" i="52"/>
  <c r="L251" i="52" s="1"/>
  <c r="J252" i="52"/>
  <c r="L252" i="52" s="1"/>
  <c r="J61" i="52"/>
  <c r="L61" i="52" s="1"/>
  <c r="J62" i="52"/>
  <c r="L62" i="52" s="1"/>
  <c r="J63" i="52"/>
  <c r="L63" i="52" s="1"/>
  <c r="J64" i="52"/>
  <c r="L64" i="52" s="1"/>
  <c r="J65" i="52"/>
  <c r="L65" i="52" s="1"/>
  <c r="J66" i="52"/>
  <c r="L66" i="52" s="1"/>
  <c r="J67" i="52"/>
  <c r="L67" i="52" s="1"/>
  <c r="J68" i="52"/>
  <c r="L68" i="52" s="1"/>
  <c r="J69" i="52"/>
  <c r="L69" i="52" s="1"/>
  <c r="J92" i="52"/>
  <c r="L92" i="52" s="1"/>
  <c r="J93" i="52"/>
  <c r="L93" i="52" s="1"/>
  <c r="J94" i="52"/>
  <c r="L94" i="52" s="1"/>
  <c r="J95" i="52"/>
  <c r="L95" i="52" s="1"/>
  <c r="J96" i="52"/>
  <c r="L96" i="52" s="1"/>
  <c r="J328" i="52"/>
  <c r="L328" i="52" s="1"/>
  <c r="J327" i="52"/>
  <c r="L327" i="52" s="1"/>
  <c r="J326" i="52"/>
  <c r="L326" i="52" s="1"/>
  <c r="J325" i="52"/>
  <c r="L325" i="52" s="1"/>
  <c r="J324" i="52"/>
  <c r="L324" i="52" s="1"/>
  <c r="J323" i="52"/>
  <c r="L323" i="52" s="1"/>
  <c r="J322" i="52"/>
  <c r="L322" i="52" s="1"/>
  <c r="J321" i="52"/>
  <c r="L321" i="52" s="1"/>
  <c r="J320" i="52"/>
  <c r="L320" i="52" s="1"/>
  <c r="J316" i="52"/>
  <c r="L316" i="52" s="1"/>
  <c r="A321" i="52"/>
  <c r="A322" i="52" s="1"/>
  <c r="A323" i="52" s="1"/>
  <c r="A324" i="52" s="1"/>
  <c r="A325" i="52" s="1"/>
  <c r="A326" i="52" s="1"/>
  <c r="A327" i="52" s="1"/>
  <c r="A328" i="52" s="1"/>
  <c r="J319" i="52"/>
  <c r="L319" i="52" s="1"/>
  <c r="J314" i="52"/>
  <c r="L314" i="52" s="1"/>
  <c r="J313" i="52"/>
  <c r="L313" i="52" s="1"/>
  <c r="J71" i="52"/>
  <c r="L71" i="52" s="1"/>
  <c r="J119" i="52"/>
  <c r="L119" i="52" s="1"/>
  <c r="J312" i="52"/>
  <c r="L312" i="52" s="1"/>
  <c r="J311" i="52"/>
  <c r="L311" i="52" s="1"/>
  <c r="J310" i="52"/>
  <c r="L310" i="52" s="1"/>
  <c r="J309" i="52"/>
  <c r="L309" i="52" s="1"/>
  <c r="J308" i="52"/>
  <c r="L308" i="52" s="1"/>
  <c r="J307" i="52"/>
  <c r="L307" i="52" s="1"/>
  <c r="J306" i="52"/>
  <c r="L306" i="52" s="1"/>
  <c r="J305" i="52"/>
  <c r="L305" i="52" s="1"/>
  <c r="J304" i="52"/>
  <c r="L304" i="52" s="1"/>
  <c r="J303" i="52"/>
  <c r="L303" i="52" s="1"/>
  <c r="J302" i="52"/>
  <c r="L302" i="52" s="1"/>
  <c r="J301" i="52"/>
  <c r="L301" i="52" s="1"/>
  <c r="J300" i="52"/>
  <c r="L300" i="52" s="1"/>
  <c r="J299" i="52"/>
  <c r="L299" i="52" s="1"/>
  <c r="J298" i="52"/>
  <c r="L298" i="52" s="1"/>
  <c r="J297" i="52"/>
  <c r="L297" i="52" s="1"/>
  <c r="J296" i="52"/>
  <c r="L296" i="52" s="1"/>
  <c r="J295" i="52"/>
  <c r="L295" i="52" s="1"/>
  <c r="J294" i="52"/>
  <c r="L294" i="52" s="1"/>
  <c r="J293" i="52"/>
  <c r="L293" i="52" s="1"/>
  <c r="J292" i="52"/>
  <c r="L292" i="52" s="1"/>
  <c r="J291" i="52"/>
  <c r="L291" i="52" s="1"/>
  <c r="J290" i="52"/>
  <c r="L290" i="52" s="1"/>
  <c r="J289" i="52"/>
  <c r="L289" i="52" s="1"/>
  <c r="J288" i="52"/>
  <c r="L288" i="52" s="1"/>
  <c r="J287" i="52"/>
  <c r="L287" i="52" s="1"/>
  <c r="J286" i="52"/>
  <c r="L286" i="52" s="1"/>
  <c r="J285" i="52"/>
  <c r="L285" i="52" s="1"/>
  <c r="J284" i="52"/>
  <c r="L284" i="52" s="1"/>
  <c r="J283" i="52"/>
  <c r="L283" i="52" s="1"/>
  <c r="J282" i="52"/>
  <c r="L282" i="52" s="1"/>
  <c r="J281" i="52"/>
  <c r="L281" i="52" s="1"/>
  <c r="J280" i="52"/>
  <c r="L280" i="52" s="1"/>
  <c r="J279" i="52"/>
  <c r="L279" i="52" s="1"/>
  <c r="J278" i="52"/>
  <c r="L278" i="52" s="1"/>
  <c r="J277" i="52"/>
  <c r="L277" i="52" s="1"/>
  <c r="J276" i="52"/>
  <c r="L276" i="52" s="1"/>
  <c r="J129" i="52"/>
  <c r="L129" i="52" s="1"/>
  <c r="J273" i="52"/>
  <c r="L273" i="52" s="1"/>
  <c r="J272" i="52"/>
  <c r="L272" i="52" s="1"/>
  <c r="J271" i="52"/>
  <c r="L271" i="52" s="1"/>
  <c r="J270" i="52"/>
  <c r="L270" i="52" s="1"/>
  <c r="J269" i="52"/>
  <c r="L269" i="52" s="1"/>
  <c r="J268" i="52"/>
  <c r="L268" i="52" s="1"/>
  <c r="J267" i="52"/>
  <c r="L267" i="52" s="1"/>
  <c r="J266" i="52"/>
  <c r="L266" i="52" s="1"/>
  <c r="J265" i="52"/>
  <c r="L265" i="52" s="1"/>
  <c r="J264" i="52"/>
  <c r="L264" i="52" s="1"/>
  <c r="J263" i="52"/>
  <c r="L263" i="52" s="1"/>
  <c r="J262" i="52"/>
  <c r="L262" i="52" s="1"/>
  <c r="J261" i="52"/>
  <c r="L261" i="52" s="1"/>
  <c r="J260" i="52"/>
  <c r="L260" i="52" s="1"/>
  <c r="J259" i="52"/>
  <c r="L259" i="52" s="1"/>
  <c r="J258" i="52"/>
  <c r="L258" i="52" s="1"/>
  <c r="J257" i="52"/>
  <c r="J256" i="52"/>
  <c r="J275" i="52"/>
  <c r="L275" i="52" s="1"/>
  <c r="J245" i="52"/>
  <c r="L245" i="52" s="1"/>
  <c r="J244" i="52"/>
  <c r="L244" i="52" s="1"/>
  <c r="J243" i="52"/>
  <c r="L243" i="52" s="1"/>
  <c r="J242" i="52"/>
  <c r="L242" i="52" s="1"/>
  <c r="J240" i="52"/>
  <c r="L240" i="52" s="1"/>
  <c r="J239" i="52"/>
  <c r="L239" i="52" s="1"/>
  <c r="J238" i="52"/>
  <c r="L238" i="52" s="1"/>
  <c r="J237" i="52"/>
  <c r="L237" i="52" s="1"/>
  <c r="J236" i="52"/>
  <c r="L236" i="52" s="1"/>
  <c r="J235" i="52"/>
  <c r="L235" i="52" s="1"/>
  <c r="J234" i="52"/>
  <c r="L234" i="52" s="1"/>
  <c r="J233" i="52"/>
  <c r="L233" i="52" s="1"/>
  <c r="J232" i="52"/>
  <c r="L232" i="52" s="1"/>
  <c r="J231" i="52"/>
  <c r="L231" i="52" s="1"/>
  <c r="J230" i="52"/>
  <c r="L230" i="52" s="1"/>
  <c r="J229" i="52"/>
  <c r="L229" i="52" s="1"/>
  <c r="J228" i="52"/>
  <c r="L228" i="52" s="1"/>
  <c r="J227" i="52"/>
  <c r="L227" i="52" s="1"/>
  <c r="J226" i="52"/>
  <c r="L226" i="52" s="1"/>
  <c r="J225" i="52"/>
  <c r="L225" i="52" s="1"/>
  <c r="J224" i="52"/>
  <c r="L224" i="52" s="1"/>
  <c r="J223" i="52"/>
  <c r="L223" i="52" s="1"/>
  <c r="J222" i="52"/>
  <c r="L222" i="52" s="1"/>
  <c r="J221" i="52"/>
  <c r="L221" i="52" s="1"/>
  <c r="J220" i="52"/>
  <c r="L220" i="52" s="1"/>
  <c r="J219" i="52"/>
  <c r="L219" i="52" s="1"/>
  <c r="J218" i="52"/>
  <c r="L218" i="52" s="1"/>
  <c r="J217" i="52"/>
  <c r="L217" i="52" s="1"/>
  <c r="J216" i="52"/>
  <c r="L216" i="52" s="1"/>
  <c r="J215" i="52"/>
  <c r="L215" i="52" s="1"/>
  <c r="J214" i="52"/>
  <c r="L214" i="52" s="1"/>
  <c r="J213" i="52"/>
  <c r="L213" i="52" s="1"/>
  <c r="J212" i="52"/>
  <c r="L212" i="52" s="1"/>
  <c r="J211" i="52"/>
  <c r="L211" i="52" s="1"/>
  <c r="J210" i="52"/>
  <c r="L210" i="52" s="1"/>
  <c r="J209" i="52"/>
  <c r="L209" i="52" s="1"/>
  <c r="J208" i="52"/>
  <c r="L208" i="52" s="1"/>
  <c r="J207" i="52"/>
  <c r="L207" i="52" s="1"/>
  <c r="J206" i="52"/>
  <c r="L206" i="52" s="1"/>
  <c r="J205" i="52"/>
  <c r="L205" i="52" s="1"/>
  <c r="J204" i="52"/>
  <c r="L204" i="52" s="1"/>
  <c r="J203" i="52"/>
  <c r="L203" i="52" s="1"/>
  <c r="J202" i="52"/>
  <c r="L202" i="52" s="1"/>
  <c r="J201" i="52"/>
  <c r="L201" i="52" s="1"/>
  <c r="J200" i="52"/>
  <c r="L200" i="52" s="1"/>
  <c r="J199" i="52"/>
  <c r="L199" i="52" s="1"/>
  <c r="J198" i="52"/>
  <c r="L198" i="52" s="1"/>
  <c r="J197" i="52"/>
  <c r="L197" i="52" s="1"/>
  <c r="J196" i="52"/>
  <c r="L196" i="52" s="1"/>
  <c r="J195" i="52"/>
  <c r="L195" i="52" s="1"/>
  <c r="J194" i="52"/>
  <c r="L194" i="52" s="1"/>
  <c r="J193" i="52"/>
  <c r="L193" i="52" s="1"/>
  <c r="J192" i="52"/>
  <c r="L192" i="52" s="1"/>
  <c r="J191" i="52"/>
  <c r="L191" i="52" s="1"/>
  <c r="J190" i="52"/>
  <c r="L190" i="52" s="1"/>
  <c r="J189" i="52"/>
  <c r="L189" i="52" s="1"/>
  <c r="J188" i="52"/>
  <c r="L188" i="52" s="1"/>
  <c r="J187" i="52"/>
  <c r="L187" i="52" s="1"/>
  <c r="J186" i="52"/>
  <c r="L186" i="52" s="1"/>
  <c r="J185" i="52"/>
  <c r="L185" i="52" s="1"/>
  <c r="J184" i="52"/>
  <c r="L184" i="52" s="1"/>
  <c r="J183" i="52"/>
  <c r="L183" i="52" s="1"/>
  <c r="J182" i="52"/>
  <c r="L182" i="52" s="1"/>
  <c r="J181" i="52"/>
  <c r="L181" i="52" s="1"/>
  <c r="J180" i="52"/>
  <c r="L180" i="52" s="1"/>
  <c r="J179" i="52"/>
  <c r="L179" i="52" s="1"/>
  <c r="J178" i="52"/>
  <c r="L178" i="52" s="1"/>
  <c r="J177" i="52"/>
  <c r="L177" i="52" s="1"/>
  <c r="J176" i="52"/>
  <c r="L176" i="52" s="1"/>
  <c r="J175" i="52"/>
  <c r="L175" i="52" s="1"/>
  <c r="J174" i="52"/>
  <c r="L174" i="52" s="1"/>
  <c r="J173" i="52"/>
  <c r="L173" i="52" s="1"/>
  <c r="J172" i="52"/>
  <c r="L172" i="52" s="1"/>
  <c r="J171" i="52"/>
  <c r="L171" i="52" s="1"/>
  <c r="J170" i="52"/>
  <c r="L170" i="52" s="1"/>
  <c r="J169" i="52"/>
  <c r="L169" i="52" s="1"/>
  <c r="J168" i="52"/>
  <c r="L168" i="52" s="1"/>
  <c r="J167" i="52"/>
  <c r="L167" i="52" s="1"/>
  <c r="J166" i="52"/>
  <c r="L166" i="52" s="1"/>
  <c r="J165" i="52"/>
  <c r="L165" i="52" s="1"/>
  <c r="J164" i="52"/>
  <c r="L164" i="52" s="1"/>
  <c r="J163" i="52"/>
  <c r="L163" i="52" s="1"/>
  <c r="J162" i="52"/>
  <c r="L162" i="52" s="1"/>
  <c r="J161" i="52"/>
  <c r="L161" i="52" s="1"/>
  <c r="J160" i="52"/>
  <c r="L160" i="52" s="1"/>
  <c r="J159" i="52"/>
  <c r="L159" i="52" s="1"/>
  <c r="J158" i="52"/>
  <c r="L158" i="52" s="1"/>
  <c r="J157" i="52"/>
  <c r="L157" i="52" s="1"/>
  <c r="J156" i="52"/>
  <c r="L156" i="52" s="1"/>
  <c r="J155" i="52"/>
  <c r="L155" i="52" s="1"/>
  <c r="J154" i="52"/>
  <c r="L154" i="52" s="1"/>
  <c r="J153" i="52"/>
  <c r="L153" i="52" s="1"/>
  <c r="J152" i="52"/>
  <c r="L152" i="52" s="1"/>
  <c r="J151" i="52"/>
  <c r="L151" i="52" s="1"/>
  <c r="J150" i="52"/>
  <c r="L150" i="52" s="1"/>
  <c r="J149" i="52"/>
  <c r="L149" i="52" s="1"/>
  <c r="J148" i="52"/>
  <c r="L148" i="52" s="1"/>
  <c r="J147" i="52"/>
  <c r="J146" i="52"/>
  <c r="L146" i="52" s="1"/>
  <c r="J145" i="52"/>
  <c r="L145" i="52" s="1"/>
  <c r="J144" i="52"/>
  <c r="L144" i="52" s="1"/>
  <c r="J143" i="52"/>
  <c r="L143" i="52" s="1"/>
  <c r="J142" i="52"/>
  <c r="L142" i="52" s="1"/>
  <c r="J141" i="52"/>
  <c r="L141" i="52" s="1"/>
  <c r="J140" i="52"/>
  <c r="L140" i="52" s="1"/>
  <c r="J139" i="52"/>
  <c r="L139" i="52" s="1"/>
  <c r="J138" i="52"/>
  <c r="L138" i="52" s="1"/>
  <c r="J137" i="52"/>
  <c r="L137" i="52" s="1"/>
  <c r="J136" i="52"/>
  <c r="L136" i="52" s="1"/>
  <c r="J135" i="52"/>
  <c r="L135" i="52" s="1"/>
  <c r="J134" i="52"/>
  <c r="L134" i="52" s="1"/>
  <c r="J133" i="52"/>
  <c r="L133" i="52" s="1"/>
  <c r="J132" i="52"/>
  <c r="L132" i="52" s="1"/>
  <c r="J131" i="52"/>
  <c r="L131" i="52" s="1"/>
  <c r="J130" i="52"/>
  <c r="L130" i="52" s="1"/>
  <c r="J128" i="52"/>
  <c r="L128" i="52" s="1"/>
  <c r="J127" i="52"/>
  <c r="L127" i="52" s="1"/>
  <c r="J126" i="52"/>
  <c r="L126" i="52" s="1"/>
  <c r="J125" i="52"/>
  <c r="L125" i="52" s="1"/>
  <c r="J124" i="52"/>
  <c r="L124" i="52" s="1"/>
  <c r="J123" i="52"/>
  <c r="L123" i="52" s="1"/>
  <c r="J122" i="52"/>
  <c r="L122" i="52" s="1"/>
  <c r="J121" i="52"/>
  <c r="L121" i="52" s="1"/>
  <c r="J120" i="52"/>
  <c r="L120" i="52" s="1"/>
  <c r="J116" i="52"/>
  <c r="L116" i="52" s="1"/>
  <c r="J115" i="52"/>
  <c r="L115" i="52" s="1"/>
  <c r="J114" i="52"/>
  <c r="L114" i="52" s="1"/>
  <c r="J113" i="52"/>
  <c r="L113" i="52" s="1"/>
  <c r="J112" i="52"/>
  <c r="L112" i="52" s="1"/>
  <c r="J111" i="52"/>
  <c r="L111" i="52" s="1"/>
  <c r="J110" i="52"/>
  <c r="L110" i="52" s="1"/>
  <c r="J109" i="52"/>
  <c r="L109" i="52" s="1"/>
  <c r="J108" i="52"/>
  <c r="L108" i="52" s="1"/>
  <c r="J107" i="52"/>
  <c r="L107" i="52" s="1"/>
  <c r="J106" i="52"/>
  <c r="L106" i="52" s="1"/>
  <c r="J105" i="52"/>
  <c r="L105" i="52" s="1"/>
  <c r="J104" i="52"/>
  <c r="L104" i="52" s="1"/>
  <c r="J103" i="52"/>
  <c r="L103" i="52" s="1"/>
  <c r="J102" i="52"/>
  <c r="L102" i="52" s="1"/>
  <c r="J101" i="52"/>
  <c r="L101" i="52" s="1"/>
  <c r="J100" i="52"/>
  <c r="L100" i="52" s="1"/>
  <c r="J99" i="52"/>
  <c r="L99" i="52" s="1"/>
  <c r="J98" i="52"/>
  <c r="L98" i="52" s="1"/>
  <c r="J97" i="52"/>
  <c r="L97" i="52" s="1"/>
  <c r="J91" i="52"/>
  <c r="L91" i="52" s="1"/>
  <c r="J90" i="52"/>
  <c r="L90" i="52" s="1"/>
  <c r="J89" i="52"/>
  <c r="L89" i="52" s="1"/>
  <c r="J88" i="52"/>
  <c r="L88" i="52" s="1"/>
  <c r="J87" i="52"/>
  <c r="L87" i="52" s="1"/>
  <c r="J86" i="52"/>
  <c r="L86" i="52" s="1"/>
  <c r="J85" i="52"/>
  <c r="L85" i="52" s="1"/>
  <c r="J84" i="52"/>
  <c r="L84" i="52" s="1"/>
  <c r="J83" i="52"/>
  <c r="L83" i="52" s="1"/>
  <c r="J82" i="52"/>
  <c r="L82" i="52" s="1"/>
  <c r="J81" i="52"/>
  <c r="L81" i="52" s="1"/>
  <c r="J80" i="52"/>
  <c r="L80" i="52" s="1"/>
  <c r="J79" i="52"/>
  <c r="L79" i="52" s="1"/>
  <c r="J78" i="52"/>
  <c r="L78" i="52" s="1"/>
  <c r="J77" i="52"/>
  <c r="L77" i="52" s="1"/>
  <c r="J76" i="52"/>
  <c r="L76" i="52" s="1"/>
  <c r="J75" i="52"/>
  <c r="L75" i="52" s="1"/>
  <c r="J74" i="52"/>
  <c r="L74" i="52" s="1"/>
  <c r="J73" i="52"/>
  <c r="L73" i="52" s="1"/>
  <c r="J72" i="52"/>
  <c r="L72" i="52" s="1"/>
  <c r="J70" i="52"/>
  <c r="L70" i="52" s="1"/>
  <c r="J60" i="52"/>
  <c r="L60" i="52" s="1"/>
  <c r="J59" i="52"/>
  <c r="L59" i="52" s="1"/>
  <c r="J58" i="52"/>
  <c r="L58" i="52" s="1"/>
  <c r="J57" i="52"/>
  <c r="L57" i="52" s="1"/>
  <c r="J56" i="52"/>
  <c r="L56" i="52" s="1"/>
  <c r="J55" i="52"/>
  <c r="L55" i="52" s="1"/>
  <c r="J54" i="52"/>
  <c r="L54" i="52" s="1"/>
  <c r="J53" i="52"/>
  <c r="L53" i="52" s="1"/>
  <c r="J52" i="52"/>
  <c r="L52" i="52" s="1"/>
  <c r="J51" i="52"/>
  <c r="L51" i="52" s="1"/>
  <c r="J50" i="52"/>
  <c r="L50" i="52" s="1"/>
  <c r="J49" i="52"/>
  <c r="L49" i="52" s="1"/>
  <c r="J48" i="52"/>
  <c r="L48" i="52" s="1"/>
  <c r="J47" i="52"/>
  <c r="L47" i="52" s="1"/>
  <c r="J46" i="52"/>
  <c r="L46" i="52" s="1"/>
  <c r="J45" i="52"/>
  <c r="L45" i="52" s="1"/>
  <c r="J44" i="52"/>
  <c r="L44" i="52" s="1"/>
  <c r="J43" i="52"/>
  <c r="L43" i="52" s="1"/>
  <c r="J42" i="52"/>
  <c r="L42" i="52" s="1"/>
  <c r="J41" i="52"/>
  <c r="L41" i="52" s="1"/>
  <c r="J40" i="52"/>
  <c r="L40" i="52" s="1"/>
  <c r="J39" i="52"/>
  <c r="L39" i="52" s="1"/>
  <c r="J38" i="52"/>
  <c r="L38" i="52" s="1"/>
  <c r="J37" i="52"/>
  <c r="L37" i="52" s="1"/>
  <c r="J36" i="52"/>
  <c r="L36" i="52" s="1"/>
  <c r="J35" i="52"/>
  <c r="L35" i="52" s="1"/>
  <c r="J34" i="52"/>
  <c r="L34" i="52" s="1"/>
  <c r="J33" i="52"/>
  <c r="L33" i="52" s="1"/>
  <c r="J32" i="52"/>
  <c r="L32" i="52" s="1"/>
  <c r="J31" i="52"/>
  <c r="L31" i="52" s="1"/>
  <c r="J30" i="52"/>
  <c r="L30" i="52" s="1"/>
  <c r="J29" i="52"/>
  <c r="L29" i="52" s="1"/>
  <c r="J28" i="52"/>
  <c r="L28" i="52" s="1"/>
  <c r="J27" i="52"/>
  <c r="L27" i="52" s="1"/>
  <c r="J26" i="52"/>
  <c r="L26" i="52" s="1"/>
  <c r="J25" i="52"/>
  <c r="L25" i="52" s="1"/>
  <c r="J24" i="52"/>
  <c r="L24" i="52" s="1"/>
  <c r="J23" i="52"/>
  <c r="L23" i="52" s="1"/>
  <c r="J22" i="52"/>
  <c r="L22" i="52" s="1"/>
  <c r="J21" i="52"/>
  <c r="L21" i="52" s="1"/>
  <c r="J20" i="52"/>
  <c r="L20" i="52" s="1"/>
  <c r="J19" i="52"/>
  <c r="L19" i="52" s="1"/>
  <c r="J18" i="52"/>
  <c r="L18" i="52" s="1"/>
  <c r="J17" i="52"/>
  <c r="L17" i="52" s="1"/>
  <c r="J16" i="52"/>
  <c r="L16" i="52" s="1"/>
  <c r="J15" i="52"/>
  <c r="L15" i="52" s="1"/>
  <c r="J14" i="52"/>
  <c r="L14" i="52" s="1"/>
  <c r="J13" i="52"/>
  <c r="L13" i="52" s="1"/>
  <c r="J12" i="52"/>
  <c r="L12" i="52" s="1"/>
  <c r="J11" i="52"/>
  <c r="L11" i="52" s="1"/>
  <c r="J10" i="52"/>
  <c r="L10" i="52" s="1"/>
  <c r="J9" i="52"/>
  <c r="L9" i="52" s="1"/>
  <c r="J8" i="52"/>
  <c r="L8" i="52" s="1"/>
  <c r="J7" i="52"/>
  <c r="L7" i="52" s="1"/>
  <c r="A7" i="52"/>
  <c r="A8" i="52" s="1"/>
  <c r="A9" i="52" s="1"/>
  <c r="A10" i="52" s="1"/>
  <c r="A11" i="52" s="1"/>
  <c r="A12" i="52" s="1"/>
  <c r="A13" i="52" s="1"/>
  <c r="A14" i="52" s="1"/>
  <c r="A15" i="52" s="1"/>
  <c r="A16" i="52" s="1"/>
  <c r="A17" i="52" s="1"/>
  <c r="A18" i="52" s="1"/>
  <c r="A19" i="52" s="1"/>
  <c r="A20" i="52" s="1"/>
  <c r="A21" i="52" s="1"/>
  <c r="A22" i="52" s="1"/>
  <c r="A23" i="52" s="1"/>
  <c r="A24" i="52" s="1"/>
  <c r="A25" i="52" s="1"/>
  <c r="A26" i="52" s="1"/>
  <c r="A27" i="52" s="1"/>
  <c r="A28" i="52" s="1"/>
  <c r="A29" i="52" s="1"/>
  <c r="A30" i="52" s="1"/>
  <c r="A31" i="52" s="1"/>
  <c r="A32" i="52" s="1"/>
  <c r="A33" i="52" s="1"/>
  <c r="A34" i="52" s="1"/>
  <c r="A35" i="52" s="1"/>
  <c r="A36" i="52" s="1"/>
  <c r="A37" i="52" s="1"/>
  <c r="A38" i="52" s="1"/>
  <c r="A39" i="52" s="1"/>
  <c r="A40" i="52" s="1"/>
  <c r="A41" i="52" s="1"/>
  <c r="A42" i="52" s="1"/>
  <c r="A43" i="52" s="1"/>
  <c r="A44" i="52" s="1"/>
  <c r="A45" i="52" s="1"/>
  <c r="A46" i="52" s="1"/>
  <c r="A47" i="52" s="1"/>
  <c r="A48" i="52" s="1"/>
  <c r="A49" i="52" s="1"/>
  <c r="A50" i="52" s="1"/>
  <c r="A51" i="52" s="1"/>
  <c r="A52" i="52" s="1"/>
  <c r="A53" i="52" s="1"/>
  <c r="A54" i="52" s="1"/>
  <c r="A55" i="52" s="1"/>
  <c r="A56" i="52" s="1"/>
  <c r="A57" i="52" s="1"/>
  <c r="A58" i="52" s="1"/>
  <c r="A59" i="52" s="1"/>
  <c r="A60" i="52" s="1"/>
  <c r="A61" i="52" s="1"/>
  <c r="A62" i="52" s="1"/>
  <c r="A63" i="52" s="1"/>
  <c r="A64" i="52" s="1"/>
  <c r="A65" i="52" s="1"/>
  <c r="A66" i="52" s="1"/>
  <c r="A67" i="52" s="1"/>
  <c r="A68" i="52" s="1"/>
  <c r="A69" i="52" s="1"/>
  <c r="A70" i="52" s="1"/>
  <c r="A71" i="52" s="1"/>
  <c r="A72" i="52" s="1"/>
  <c r="A73" i="52" s="1"/>
  <c r="A74" i="52" s="1"/>
  <c r="A75" i="52" s="1"/>
  <c r="A76" i="52" s="1"/>
  <c r="A77" i="52" s="1"/>
  <c r="A78" i="52" s="1"/>
  <c r="A79" i="52" s="1"/>
  <c r="A80" i="52" s="1"/>
  <c r="A81" i="52" s="1"/>
  <c r="A82" i="52" s="1"/>
  <c r="A83" i="52" s="1"/>
  <c r="A84" i="52" s="1"/>
  <c r="A85" i="52" s="1"/>
  <c r="A86" i="52" s="1"/>
  <c r="A87" i="52" s="1"/>
  <c r="A88" i="52" s="1"/>
  <c r="A89" i="52" s="1"/>
  <c r="A90" i="52" s="1"/>
  <c r="A91" i="52" s="1"/>
  <c r="A92" i="52" s="1"/>
  <c r="A93" i="52" s="1"/>
  <c r="A94" i="52" s="1"/>
  <c r="A95" i="52" s="1"/>
  <c r="A96" i="52" s="1"/>
  <c r="A97" i="52" s="1"/>
  <c r="A98" i="52" s="1"/>
  <c r="A99" i="52" s="1"/>
  <c r="A100" i="52" s="1"/>
  <c r="A101" i="52" s="1"/>
  <c r="A102" i="52" s="1"/>
  <c r="A103" i="52" s="1"/>
  <c r="A104" i="52" s="1"/>
  <c r="A105" i="52" s="1"/>
  <c r="A106" i="52" s="1"/>
  <c r="A107" i="52" s="1"/>
  <c r="A108" i="52" s="1"/>
  <c r="A109" i="52" s="1"/>
  <c r="A110" i="52" s="1"/>
  <c r="A111" i="52" s="1"/>
  <c r="A112" i="52" s="1"/>
  <c r="A113" i="52" s="1"/>
  <c r="A114" i="52" s="1"/>
  <c r="A115" i="52" s="1"/>
  <c r="A116" i="52" s="1"/>
  <c r="A117" i="52" s="1"/>
  <c r="A119" i="52" s="1"/>
  <c r="A120" i="52" s="1"/>
  <c r="A121" i="52" s="1"/>
  <c r="A122" i="52" s="1"/>
  <c r="A123" i="52" s="1"/>
  <c r="A124" i="52" s="1"/>
  <c r="A125" i="52" s="1"/>
  <c r="A126" i="52" s="1"/>
  <c r="A127" i="52" s="1"/>
  <c r="A128" i="52" s="1"/>
  <c r="A129" i="52" s="1"/>
  <c r="A130" i="52" s="1"/>
  <c r="A131" i="52" s="1"/>
  <c r="A132" i="52" s="1"/>
  <c r="A133" i="52" s="1"/>
  <c r="A134" i="52" s="1"/>
  <c r="A135" i="52" s="1"/>
  <c r="A136" i="52" s="1"/>
  <c r="A137" i="52" s="1"/>
  <c r="A138" i="52" s="1"/>
  <c r="A139" i="52" s="1"/>
  <c r="A140" i="52" s="1"/>
  <c r="A141" i="52" s="1"/>
  <c r="A142" i="52" s="1"/>
  <c r="A143" i="52" s="1"/>
  <c r="A144" i="52" s="1"/>
  <c r="A145" i="52" s="1"/>
  <c r="A146" i="52" s="1"/>
  <c r="A147" i="52" s="1"/>
  <c r="A148" i="52" s="1"/>
  <c r="A149" i="52" s="1"/>
  <c r="A150" i="52" s="1"/>
  <c r="A151" i="52" s="1"/>
  <c r="A152" i="52" s="1"/>
  <c r="A153" i="52" s="1"/>
  <c r="A154" i="52" s="1"/>
  <c r="A155" i="52" s="1"/>
  <c r="A156" i="52" s="1"/>
  <c r="A157" i="52" s="1"/>
  <c r="A158" i="52" s="1"/>
  <c r="A159" i="52" s="1"/>
  <c r="A160" i="52" s="1"/>
  <c r="A161" i="52" s="1"/>
  <c r="A162" i="52" s="1"/>
  <c r="A163" i="52" s="1"/>
  <c r="A164" i="52" s="1"/>
  <c r="A165" i="52" s="1"/>
  <c r="A166" i="52" s="1"/>
  <c r="A167" i="52" s="1"/>
  <c r="A168" i="52" s="1"/>
  <c r="A169" i="52" s="1"/>
  <c r="A170" i="52" s="1"/>
  <c r="A171" i="52" s="1"/>
  <c r="A172" i="52" s="1"/>
  <c r="A173" i="52" s="1"/>
  <c r="A174" i="52" s="1"/>
  <c r="A175" i="52" s="1"/>
  <c r="A176" i="52" s="1"/>
  <c r="A177" i="52" s="1"/>
  <c r="A178" i="52" s="1"/>
  <c r="A179" i="52" s="1"/>
  <c r="A180" i="52" s="1"/>
  <c r="A181" i="52" s="1"/>
  <c r="A182" i="52" s="1"/>
  <c r="A183" i="52" s="1"/>
  <c r="A184" i="52" s="1"/>
  <c r="A185" i="52" s="1"/>
  <c r="A186" i="52" s="1"/>
  <c r="A187" i="52" s="1"/>
  <c r="A188" i="52" s="1"/>
  <c r="A189" i="52" s="1"/>
  <c r="A190" i="52" s="1"/>
  <c r="A191" i="52" s="1"/>
  <c r="A192" i="52" s="1"/>
  <c r="A193" i="52" s="1"/>
  <c r="A194" i="52" s="1"/>
  <c r="A195" i="52" s="1"/>
  <c r="A196" i="52" s="1"/>
  <c r="A197" i="52" s="1"/>
  <c r="A198" i="52" s="1"/>
  <c r="A199" i="52" s="1"/>
  <c r="A200" i="52" s="1"/>
  <c r="A201" i="52" s="1"/>
  <c r="A202" i="52" s="1"/>
  <c r="A203" i="52" s="1"/>
  <c r="A204" i="52" s="1"/>
  <c r="A205" i="52" s="1"/>
  <c r="A206" i="52" s="1"/>
  <c r="A207" i="52" s="1"/>
  <c r="A208" i="52" s="1"/>
  <c r="A209" i="52" s="1"/>
  <c r="A210" i="52" s="1"/>
  <c r="A211" i="52" s="1"/>
  <c r="A212" i="52" s="1"/>
  <c r="A213" i="52" s="1"/>
  <c r="A214" i="52" s="1"/>
  <c r="A215" i="52" s="1"/>
  <c r="A216" i="52" s="1"/>
  <c r="A217" i="52" s="1"/>
  <c r="A218" i="52" s="1"/>
  <c r="A219" i="52" s="1"/>
  <c r="A220" i="52" s="1"/>
  <c r="A221" i="52" s="1"/>
  <c r="A222" i="52" s="1"/>
  <c r="A223" i="52" s="1"/>
  <c r="A224" i="52" s="1"/>
  <c r="A225" i="52" s="1"/>
  <c r="A226" i="52" s="1"/>
  <c r="A227" i="52" s="1"/>
  <c r="A228" i="52" s="1"/>
  <c r="A229" i="52" s="1"/>
  <c r="A230" i="52" s="1"/>
  <c r="A231" i="52" s="1"/>
  <c r="A232" i="52" s="1"/>
  <c r="A233" i="52" s="1"/>
  <c r="A234" i="52" s="1"/>
  <c r="A235" i="52" s="1"/>
  <c r="A236" i="52" s="1"/>
  <c r="A237" i="52" s="1"/>
  <c r="A238" i="52" s="1"/>
  <c r="A239" i="52" s="1"/>
  <c r="A240" i="52" s="1"/>
  <c r="A241" i="52" s="1"/>
  <c r="A242" i="52" s="1"/>
  <c r="A243" i="52" s="1"/>
  <c r="A244" i="52" s="1"/>
  <c r="A245" i="52" s="1"/>
  <c r="A246" i="52" s="1"/>
  <c r="A247" i="52" s="1"/>
  <c r="A248" i="52" s="1"/>
  <c r="A249" i="52" s="1"/>
  <c r="J6" i="52"/>
  <c r="A245" i="50"/>
  <c r="A246" i="50"/>
  <c r="A247" i="50" s="1"/>
  <c r="A248" i="50" s="1"/>
  <c r="A249" i="50" s="1"/>
  <c r="A250" i="50" s="1"/>
  <c r="A251" i="50" s="1"/>
  <c r="A252" i="50" s="1"/>
  <c r="A253" i="50" s="1"/>
  <c r="A254" i="50" s="1"/>
  <c r="A255" i="50" s="1"/>
  <c r="A256" i="50" s="1"/>
  <c r="A257" i="50" s="1"/>
  <c r="A258" i="50" s="1"/>
  <c r="A259" i="50" s="1"/>
  <c r="A260" i="50" s="1"/>
  <c r="A261" i="50" s="1"/>
  <c r="A262" i="50" s="1"/>
  <c r="A263" i="50" s="1"/>
  <c r="A264" i="50" s="1"/>
  <c r="A265" i="50" s="1"/>
  <c r="A266" i="50" s="1"/>
  <c r="A267" i="50" s="1"/>
  <c r="A268" i="50" s="1"/>
  <c r="A269" i="50" s="1"/>
  <c r="A270" i="50" s="1"/>
  <c r="A271" i="50" s="1"/>
  <c r="A272" i="50" s="1"/>
  <c r="A273" i="50" s="1"/>
  <c r="A274" i="50" s="1"/>
  <c r="A275" i="50" s="1"/>
  <c r="A276" i="50" s="1"/>
  <c r="A277" i="50" s="1"/>
  <c r="A278" i="50" s="1"/>
  <c r="A279" i="50" s="1"/>
  <c r="A280" i="50" s="1"/>
  <c r="A281" i="50" s="1"/>
  <c r="A282" i="50" s="1"/>
  <c r="A283" i="50" s="1"/>
  <c r="A284" i="50" s="1"/>
  <c r="A285" i="50" s="1"/>
  <c r="A286" i="50" s="1"/>
  <c r="A287" i="50" s="1"/>
  <c r="A288" i="50" s="1"/>
  <c r="A289" i="50" s="1"/>
  <c r="A290" i="50" s="1"/>
  <c r="A291" i="50" s="1"/>
  <c r="A292" i="50" s="1"/>
  <c r="A293" i="50" s="1"/>
  <c r="A294" i="50" s="1"/>
  <c r="A295" i="50" s="1"/>
  <c r="A296" i="50" s="1"/>
  <c r="A297" i="50" s="1"/>
  <c r="A298" i="50" s="1"/>
  <c r="A299" i="50" s="1"/>
  <c r="A300" i="50" s="1"/>
  <c r="A301" i="50" s="1"/>
  <c r="A302" i="50" s="1"/>
  <c r="A34" i="50"/>
  <c r="A35" i="50"/>
  <c r="A36" i="50" s="1"/>
  <c r="A37" i="50" s="1"/>
  <c r="A38" i="50" s="1"/>
  <c r="A39" i="50" s="1"/>
  <c r="A40" i="50" s="1"/>
  <c r="A41" i="50" s="1"/>
  <c r="A42" i="50" s="1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98" i="50" s="1"/>
  <c r="A99" i="50" s="1"/>
  <c r="A100" i="50" s="1"/>
  <c r="A101" i="50" s="1"/>
  <c r="A102" i="50" s="1"/>
  <c r="A103" i="50" s="1"/>
  <c r="A104" i="50" s="1"/>
  <c r="A105" i="50" s="1"/>
  <c r="A106" i="50" s="1"/>
  <c r="A107" i="50" s="1"/>
  <c r="A108" i="50" s="1"/>
  <c r="A109" i="50" s="1"/>
  <c r="A110" i="50" s="1"/>
  <c r="A111" i="50" s="1"/>
  <c r="A112" i="50" s="1"/>
  <c r="A113" i="50" s="1"/>
  <c r="A114" i="50" s="1"/>
  <c r="A115" i="50" s="1"/>
  <c r="A116" i="50" s="1"/>
  <c r="A117" i="50" s="1"/>
  <c r="A118" i="50" s="1"/>
  <c r="A119" i="50" s="1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A158" i="50" s="1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A181" i="50" s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A193" i="50" s="1"/>
  <c r="A194" i="50" s="1"/>
  <c r="A195" i="50" s="1"/>
  <c r="A196" i="50" s="1"/>
  <c r="A197" i="50" s="1"/>
  <c r="A198" i="50" s="1"/>
  <c r="A199" i="50" s="1"/>
  <c r="A200" i="50" s="1"/>
  <c r="A201" i="50" s="1"/>
  <c r="A202" i="50" s="1"/>
  <c r="A203" i="50" s="1"/>
  <c r="A204" i="50" s="1"/>
  <c r="A205" i="50" s="1"/>
  <c r="A206" i="50" s="1"/>
  <c r="A207" i="50" s="1"/>
  <c r="A208" i="50" s="1"/>
  <c r="A209" i="50" s="1"/>
  <c r="A210" i="50" s="1"/>
  <c r="A211" i="50" s="1"/>
  <c r="A212" i="50" s="1"/>
  <c r="A213" i="50" s="1"/>
  <c r="A214" i="50" s="1"/>
  <c r="A215" i="50" s="1"/>
  <c r="A216" i="50" s="1"/>
  <c r="A217" i="50" s="1"/>
  <c r="A218" i="50" s="1"/>
  <c r="A219" i="50" s="1"/>
  <c r="A220" i="50" s="1"/>
  <c r="A221" i="50" s="1"/>
  <c r="A222" i="50" s="1"/>
  <c r="A223" i="50" s="1"/>
  <c r="A224" i="50" s="1"/>
  <c r="A225" i="50" s="1"/>
  <c r="A226" i="50" s="1"/>
  <c r="A227" i="50" s="1"/>
  <c r="A228" i="50" s="1"/>
  <c r="A229" i="50" s="1"/>
  <c r="A230" i="50" s="1"/>
  <c r="A231" i="50" s="1"/>
  <c r="A232" i="50" s="1"/>
  <c r="A233" i="50" s="1"/>
  <c r="A234" i="50" s="1"/>
  <c r="A235" i="50" s="1"/>
  <c r="A236" i="50" s="1"/>
  <c r="A237" i="50" s="1"/>
  <c r="A238" i="50" s="1"/>
  <c r="A239" i="50" s="1"/>
  <c r="A9" i="50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A27" i="50" s="1"/>
  <c r="A28" i="50" s="1"/>
  <c r="A29" i="50" s="1"/>
  <c r="A30" i="50" s="1"/>
  <c r="A31" i="50" s="1"/>
  <c r="A32" i="50" s="1"/>
  <c r="A33" i="50" s="1"/>
  <c r="A244" i="50"/>
  <c r="I304" i="50"/>
  <c r="K304" i="50"/>
  <c r="G304" i="50"/>
  <c r="H304" i="50"/>
  <c r="J295" i="50"/>
  <c r="L295" i="50" s="1"/>
  <c r="J300" i="50"/>
  <c r="J296" i="50"/>
  <c r="L296" i="50" s="1"/>
  <c r="J297" i="50"/>
  <c r="L297" i="50" s="1"/>
  <c r="J299" i="50"/>
  <c r="L299" i="50" s="1"/>
  <c r="J298" i="50"/>
  <c r="L298" i="50" s="1"/>
  <c r="L303" i="50"/>
  <c r="A93" i="53" l="1"/>
  <c r="A94" i="53" s="1"/>
  <c r="A95" i="53" s="1"/>
  <c r="A96" i="53" s="1"/>
  <c r="A97" i="53" s="1"/>
  <c r="A98" i="53" s="1"/>
  <c r="A99" i="53" s="1"/>
  <c r="A100" i="53" s="1"/>
  <c r="A101" i="53" s="1"/>
  <c r="A102" i="53" s="1"/>
  <c r="A103" i="53" s="1"/>
  <c r="A104" i="53" s="1"/>
  <c r="A105" i="53" s="1"/>
  <c r="A106" i="53" s="1"/>
  <c r="A107" i="53" s="1"/>
  <c r="A108" i="53" s="1"/>
  <c r="A109" i="53" s="1"/>
  <c r="A110" i="53" s="1"/>
  <c r="A111" i="53" s="1"/>
  <c r="A112" i="53" s="1"/>
  <c r="A113" i="53" s="1"/>
  <c r="A114" i="53" s="1"/>
  <c r="A115" i="53" s="1"/>
  <c r="A116" i="53" s="1"/>
  <c r="J327" i="53"/>
  <c r="L327" i="53"/>
  <c r="L147" i="52"/>
  <c r="L253" i="52" s="1"/>
  <c r="J253" i="52"/>
  <c r="L256" i="52"/>
  <c r="I329" i="52"/>
  <c r="K329" i="52"/>
  <c r="L257" i="52"/>
  <c r="L6" i="52"/>
  <c r="L300" i="50"/>
  <c r="J316" i="50"/>
  <c r="L316" i="50" s="1"/>
  <c r="J315" i="50"/>
  <c r="L315" i="50" s="1"/>
  <c r="J314" i="50"/>
  <c r="L314" i="50" s="1"/>
  <c r="J313" i="50"/>
  <c r="L313" i="50" s="1"/>
  <c r="J312" i="50"/>
  <c r="L312" i="50" s="1"/>
  <c r="J311" i="50"/>
  <c r="L311" i="50" s="1"/>
  <c r="J310" i="50"/>
  <c r="L310" i="50" s="1"/>
  <c r="J309" i="50"/>
  <c r="L309" i="50" s="1"/>
  <c r="J308" i="50"/>
  <c r="L308" i="50" s="1"/>
  <c r="J307" i="50"/>
  <c r="L307" i="50" s="1"/>
  <c r="A307" i="50"/>
  <c r="A308" i="50" s="1"/>
  <c r="A309" i="50" s="1"/>
  <c r="A310" i="50" s="1"/>
  <c r="A311" i="50" s="1"/>
  <c r="A312" i="50" s="1"/>
  <c r="A313" i="50" s="1"/>
  <c r="A314" i="50" s="1"/>
  <c r="A315" i="50" s="1"/>
  <c r="A316" i="50" s="1"/>
  <c r="J306" i="50"/>
  <c r="L306" i="50" s="1"/>
  <c r="J60" i="50"/>
  <c r="L60" i="50" s="1"/>
  <c r="J294" i="50"/>
  <c r="L294" i="50" s="1"/>
  <c r="J293" i="50"/>
  <c r="L293" i="50" s="1"/>
  <c r="J292" i="50"/>
  <c r="L292" i="50" s="1"/>
  <c r="J291" i="50"/>
  <c r="L291" i="50" s="1"/>
  <c r="J290" i="50"/>
  <c r="L290" i="50" s="1"/>
  <c r="J289" i="50"/>
  <c r="L289" i="50" s="1"/>
  <c r="J288" i="50"/>
  <c r="L288" i="50" s="1"/>
  <c r="J287" i="50"/>
  <c r="L287" i="50" s="1"/>
  <c r="J286" i="50"/>
  <c r="L286" i="50" s="1"/>
  <c r="J285" i="50"/>
  <c r="L285" i="50" s="1"/>
  <c r="J302" i="50"/>
  <c r="L302" i="50" s="1"/>
  <c r="J301" i="50"/>
  <c r="L301" i="50" s="1"/>
  <c r="J284" i="50"/>
  <c r="L284" i="50" s="1"/>
  <c r="J283" i="50"/>
  <c r="L283" i="50" s="1"/>
  <c r="J282" i="50"/>
  <c r="L282" i="50" s="1"/>
  <c r="J281" i="50"/>
  <c r="L281" i="50" s="1"/>
  <c r="J280" i="50"/>
  <c r="L280" i="50" s="1"/>
  <c r="J279" i="50"/>
  <c r="L279" i="50" s="1"/>
  <c r="J278" i="50"/>
  <c r="L278" i="50" s="1"/>
  <c r="J277" i="50"/>
  <c r="L277" i="50" s="1"/>
  <c r="J276" i="50"/>
  <c r="L276" i="50" s="1"/>
  <c r="J275" i="50"/>
  <c r="L275" i="50" s="1"/>
  <c r="J274" i="50"/>
  <c r="L274" i="50" s="1"/>
  <c r="J273" i="50"/>
  <c r="L273" i="50" s="1"/>
  <c r="J272" i="50"/>
  <c r="L272" i="50" s="1"/>
  <c r="J271" i="50"/>
  <c r="L271" i="50" s="1"/>
  <c r="J270" i="50"/>
  <c r="L270" i="50" s="1"/>
  <c r="J269" i="50"/>
  <c r="L269" i="50" s="1"/>
  <c r="J268" i="50"/>
  <c r="L268" i="50" s="1"/>
  <c r="J267" i="50"/>
  <c r="L267" i="50" s="1"/>
  <c r="J266" i="50"/>
  <c r="L266" i="50" s="1"/>
  <c r="J265" i="50"/>
  <c r="L265" i="50" s="1"/>
  <c r="J264" i="50"/>
  <c r="L264" i="50" s="1"/>
  <c r="J263" i="50"/>
  <c r="L263" i="50" s="1"/>
  <c r="J262" i="50"/>
  <c r="L262" i="50" s="1"/>
  <c r="J260" i="50"/>
  <c r="L260" i="50" s="1"/>
  <c r="J259" i="50"/>
  <c r="L259" i="50" s="1"/>
  <c r="J258" i="50"/>
  <c r="L258" i="50" s="1"/>
  <c r="J257" i="50"/>
  <c r="L257" i="50" s="1"/>
  <c r="J256" i="50"/>
  <c r="L256" i="50" s="1"/>
  <c r="J255" i="50"/>
  <c r="L255" i="50" s="1"/>
  <c r="J254" i="50"/>
  <c r="L254" i="50" s="1"/>
  <c r="J253" i="50"/>
  <c r="L253" i="50" s="1"/>
  <c r="J252" i="50"/>
  <c r="L252" i="50" s="1"/>
  <c r="J251" i="50"/>
  <c r="L251" i="50" s="1"/>
  <c r="J250" i="50"/>
  <c r="L250" i="50" s="1"/>
  <c r="J249" i="50"/>
  <c r="L249" i="50" s="1"/>
  <c r="J248" i="50"/>
  <c r="L248" i="50" s="1"/>
  <c r="J247" i="50"/>
  <c r="L247" i="50" s="1"/>
  <c r="J246" i="50"/>
  <c r="L246" i="50" s="1"/>
  <c r="J245" i="50"/>
  <c r="L245" i="50" s="1"/>
  <c r="J244" i="50"/>
  <c r="L244" i="50" s="1"/>
  <c r="J243" i="50"/>
  <c r="L243" i="50" s="1"/>
  <c r="K240" i="50"/>
  <c r="F317" i="50"/>
  <c r="J216" i="50"/>
  <c r="L216" i="50" s="1"/>
  <c r="J207" i="50"/>
  <c r="L207" i="50" s="1"/>
  <c r="J140" i="50"/>
  <c r="L140" i="50" s="1"/>
  <c r="J62" i="50"/>
  <c r="L62" i="50" s="1"/>
  <c r="J92" i="50"/>
  <c r="L92" i="50" s="1"/>
  <c r="J239" i="50"/>
  <c r="L239" i="50" s="1"/>
  <c r="J238" i="50"/>
  <c r="L238" i="50" s="1"/>
  <c r="J237" i="50"/>
  <c r="L237" i="50" s="1"/>
  <c r="J124" i="50"/>
  <c r="L124" i="50" s="1"/>
  <c r="J191" i="50"/>
  <c r="L191" i="50" s="1"/>
  <c r="J236" i="50"/>
  <c r="L236" i="50" s="1"/>
  <c r="J261" i="50"/>
  <c r="L261" i="50" s="1"/>
  <c r="J200" i="50"/>
  <c r="L200" i="50" s="1"/>
  <c r="J64" i="50"/>
  <c r="L64" i="50" s="1"/>
  <c r="J235" i="50"/>
  <c r="L235" i="50" s="1"/>
  <c r="J144" i="50"/>
  <c r="L144" i="50" s="1"/>
  <c r="J234" i="50"/>
  <c r="L234" i="50" s="1"/>
  <c r="J59" i="50"/>
  <c r="L59" i="50" s="1"/>
  <c r="J148" i="50"/>
  <c r="L148" i="50" s="1"/>
  <c r="J233" i="50"/>
  <c r="L233" i="50" s="1"/>
  <c r="J232" i="50"/>
  <c r="L232" i="50" s="1"/>
  <c r="J231" i="50"/>
  <c r="L231" i="50" s="1"/>
  <c r="J230" i="50"/>
  <c r="L230" i="50" s="1"/>
  <c r="J229" i="50"/>
  <c r="L229" i="50" s="1"/>
  <c r="J228" i="50"/>
  <c r="L228" i="50" s="1"/>
  <c r="J227" i="50"/>
  <c r="L227" i="50" s="1"/>
  <c r="J65" i="50"/>
  <c r="L65" i="50" s="1"/>
  <c r="J48" i="50"/>
  <c r="L48" i="50" s="1"/>
  <c r="J226" i="50"/>
  <c r="L226" i="50" s="1"/>
  <c r="J225" i="50"/>
  <c r="L225" i="50" s="1"/>
  <c r="J224" i="50"/>
  <c r="L224" i="50" s="1"/>
  <c r="J223" i="50"/>
  <c r="L223" i="50" s="1"/>
  <c r="J222" i="50"/>
  <c r="L222" i="50" s="1"/>
  <c r="J221" i="50"/>
  <c r="L221" i="50" s="1"/>
  <c r="J220" i="50"/>
  <c r="L220" i="50" s="1"/>
  <c r="J219" i="50"/>
  <c r="L219" i="50" s="1"/>
  <c r="J218" i="50"/>
  <c r="L218" i="50" s="1"/>
  <c r="J217" i="50"/>
  <c r="L217" i="50" s="1"/>
  <c r="J215" i="50"/>
  <c r="L215" i="50" s="1"/>
  <c r="J214" i="50"/>
  <c r="L214" i="50" s="1"/>
  <c r="J213" i="50"/>
  <c r="L213" i="50" s="1"/>
  <c r="J212" i="50"/>
  <c r="L212" i="50" s="1"/>
  <c r="J211" i="50"/>
  <c r="L211" i="50" s="1"/>
  <c r="J210" i="50"/>
  <c r="L210" i="50" s="1"/>
  <c r="J209" i="50"/>
  <c r="L209" i="50" s="1"/>
  <c r="J208" i="50"/>
  <c r="L208" i="50" s="1"/>
  <c r="J206" i="50"/>
  <c r="L206" i="50" s="1"/>
  <c r="J205" i="50"/>
  <c r="L205" i="50" s="1"/>
  <c r="J204" i="50"/>
  <c r="L204" i="50" s="1"/>
  <c r="J203" i="50"/>
  <c r="L203" i="50" s="1"/>
  <c r="J202" i="50"/>
  <c r="L202" i="50" s="1"/>
  <c r="J201" i="50"/>
  <c r="L201" i="50" s="1"/>
  <c r="J199" i="50"/>
  <c r="L199" i="50" s="1"/>
  <c r="J198" i="50"/>
  <c r="L198" i="50" s="1"/>
  <c r="J197" i="50"/>
  <c r="L197" i="50" s="1"/>
  <c r="J196" i="50"/>
  <c r="L196" i="50" s="1"/>
  <c r="J195" i="50"/>
  <c r="L195" i="50" s="1"/>
  <c r="J194" i="50"/>
  <c r="L194" i="50" s="1"/>
  <c r="J193" i="50"/>
  <c r="L193" i="50" s="1"/>
  <c r="J192" i="50"/>
  <c r="L192" i="50" s="1"/>
  <c r="J190" i="50"/>
  <c r="L190" i="50" s="1"/>
  <c r="J189" i="50"/>
  <c r="L189" i="50" s="1"/>
  <c r="J187" i="50"/>
  <c r="L187" i="50" s="1"/>
  <c r="J186" i="50"/>
  <c r="L186" i="50" s="1"/>
  <c r="J185" i="50"/>
  <c r="L185" i="50" s="1"/>
  <c r="J184" i="50"/>
  <c r="L184" i="50" s="1"/>
  <c r="J183" i="50"/>
  <c r="L183" i="50" s="1"/>
  <c r="J182" i="50"/>
  <c r="L182" i="50" s="1"/>
  <c r="J181" i="50"/>
  <c r="L181" i="50" s="1"/>
  <c r="J180" i="50"/>
  <c r="L180" i="50" s="1"/>
  <c r="J179" i="50"/>
  <c r="L179" i="50" s="1"/>
  <c r="J178" i="50"/>
  <c r="L178" i="50" s="1"/>
  <c r="J177" i="50"/>
  <c r="L177" i="50" s="1"/>
  <c r="J176" i="50"/>
  <c r="L176" i="50" s="1"/>
  <c r="J175" i="50"/>
  <c r="L175" i="50" s="1"/>
  <c r="J174" i="50"/>
  <c r="L174" i="50" s="1"/>
  <c r="J173" i="50"/>
  <c r="L173" i="50" s="1"/>
  <c r="J172" i="50"/>
  <c r="L172" i="50" s="1"/>
  <c r="J171" i="50"/>
  <c r="L171" i="50" s="1"/>
  <c r="J170" i="50"/>
  <c r="L170" i="50" s="1"/>
  <c r="J169" i="50"/>
  <c r="L169" i="50" s="1"/>
  <c r="J168" i="50"/>
  <c r="L168" i="50" s="1"/>
  <c r="J167" i="50"/>
  <c r="L167" i="50" s="1"/>
  <c r="J166" i="50"/>
  <c r="L166" i="50" s="1"/>
  <c r="J114" i="50"/>
  <c r="L114" i="50" s="1"/>
  <c r="J165" i="50"/>
  <c r="L165" i="50" s="1"/>
  <c r="J164" i="50"/>
  <c r="L164" i="50" s="1"/>
  <c r="J163" i="50"/>
  <c r="L163" i="50" s="1"/>
  <c r="J162" i="50"/>
  <c r="L162" i="50" s="1"/>
  <c r="J161" i="50"/>
  <c r="L161" i="50" s="1"/>
  <c r="J160" i="50"/>
  <c r="L160" i="50" s="1"/>
  <c r="J188" i="50"/>
  <c r="L188" i="50" s="1"/>
  <c r="J159" i="50"/>
  <c r="L159" i="50" s="1"/>
  <c r="J158" i="50"/>
  <c r="L158" i="50" s="1"/>
  <c r="J157" i="50"/>
  <c r="L157" i="50" s="1"/>
  <c r="J115" i="50"/>
  <c r="L115" i="50" s="1"/>
  <c r="J155" i="50"/>
  <c r="L155" i="50" s="1"/>
  <c r="J154" i="50"/>
  <c r="L154" i="50" s="1"/>
  <c r="J153" i="50"/>
  <c r="L153" i="50" s="1"/>
  <c r="J152" i="50"/>
  <c r="L152" i="50" s="1"/>
  <c r="J151" i="50"/>
  <c r="L151" i="50" s="1"/>
  <c r="J150" i="50"/>
  <c r="L150" i="50" s="1"/>
  <c r="J149" i="50"/>
  <c r="L149" i="50" s="1"/>
  <c r="J141" i="50"/>
  <c r="L141" i="50" s="1"/>
  <c r="J147" i="50"/>
  <c r="L147" i="50" s="1"/>
  <c r="J146" i="50"/>
  <c r="L146" i="50" s="1"/>
  <c r="J156" i="50"/>
  <c r="L156" i="50" s="1"/>
  <c r="J145" i="50"/>
  <c r="L145" i="50" s="1"/>
  <c r="J142" i="50"/>
  <c r="L142" i="50" s="1"/>
  <c r="J139" i="50"/>
  <c r="L139" i="50" s="1"/>
  <c r="J136" i="50"/>
  <c r="L136" i="50" s="1"/>
  <c r="J138" i="50"/>
  <c r="L138" i="50" s="1"/>
  <c r="J135" i="50"/>
  <c r="L135" i="50" s="1"/>
  <c r="J134" i="50"/>
  <c r="L134" i="50" s="1"/>
  <c r="J133" i="50"/>
  <c r="L133" i="50" s="1"/>
  <c r="J132" i="50"/>
  <c r="L132" i="50" s="1"/>
  <c r="J131" i="50"/>
  <c r="L131" i="50" s="1"/>
  <c r="J130" i="50"/>
  <c r="L130" i="50" s="1"/>
  <c r="J129" i="50"/>
  <c r="L129" i="50" s="1"/>
  <c r="J128" i="50"/>
  <c r="L128" i="50" s="1"/>
  <c r="J127" i="50"/>
  <c r="L127" i="50" s="1"/>
  <c r="J126" i="50"/>
  <c r="L126" i="50" s="1"/>
  <c r="J125" i="50"/>
  <c r="L125" i="50" s="1"/>
  <c r="J123" i="50"/>
  <c r="L123" i="50" s="1"/>
  <c r="J122" i="50"/>
  <c r="L122" i="50" s="1"/>
  <c r="J121" i="50"/>
  <c r="L121" i="50" s="1"/>
  <c r="J120" i="50"/>
  <c r="L120" i="50" s="1"/>
  <c r="J137" i="50"/>
  <c r="L137" i="50" s="1"/>
  <c r="J119" i="50"/>
  <c r="L119" i="50" s="1"/>
  <c r="J118" i="50"/>
  <c r="L118" i="50" s="1"/>
  <c r="J117" i="50"/>
  <c r="L117" i="50" s="1"/>
  <c r="J116" i="50"/>
  <c r="L116" i="50" s="1"/>
  <c r="J113" i="50"/>
  <c r="L113" i="50" s="1"/>
  <c r="J112" i="50"/>
  <c r="L112" i="50" s="1"/>
  <c r="J111" i="50"/>
  <c r="L111" i="50" s="1"/>
  <c r="J110" i="50"/>
  <c r="L110" i="50" s="1"/>
  <c r="J109" i="50"/>
  <c r="L109" i="50" s="1"/>
  <c r="J108" i="50"/>
  <c r="L108" i="50" s="1"/>
  <c r="J107" i="50"/>
  <c r="L107" i="50" s="1"/>
  <c r="J106" i="50"/>
  <c r="L106" i="50" s="1"/>
  <c r="J105" i="50"/>
  <c r="L105" i="50" s="1"/>
  <c r="J104" i="50"/>
  <c r="L104" i="50" s="1"/>
  <c r="J103" i="50"/>
  <c r="L103" i="50" s="1"/>
  <c r="J102" i="50"/>
  <c r="L102" i="50" s="1"/>
  <c r="J101" i="50"/>
  <c r="L101" i="50" s="1"/>
  <c r="J100" i="50"/>
  <c r="L100" i="50" s="1"/>
  <c r="J99" i="50"/>
  <c r="L99" i="50" s="1"/>
  <c r="J98" i="50"/>
  <c r="L98" i="50" s="1"/>
  <c r="J96" i="50"/>
  <c r="L96" i="50" s="1"/>
  <c r="J95" i="50"/>
  <c r="L95" i="50" s="1"/>
  <c r="J94" i="50"/>
  <c r="L94" i="50" s="1"/>
  <c r="J93" i="50"/>
  <c r="L93" i="50" s="1"/>
  <c r="J91" i="50"/>
  <c r="L91" i="50" s="1"/>
  <c r="J90" i="50"/>
  <c r="L90" i="50" s="1"/>
  <c r="J89" i="50"/>
  <c r="L89" i="50" s="1"/>
  <c r="J88" i="50"/>
  <c r="L88" i="50" s="1"/>
  <c r="J87" i="50"/>
  <c r="L87" i="50" s="1"/>
  <c r="J86" i="50"/>
  <c r="L86" i="50" s="1"/>
  <c r="J85" i="50"/>
  <c r="L85" i="50" s="1"/>
  <c r="J84" i="50"/>
  <c r="L84" i="50" s="1"/>
  <c r="J83" i="50"/>
  <c r="L83" i="50" s="1"/>
  <c r="J77" i="50"/>
  <c r="L77" i="50" s="1"/>
  <c r="J76" i="50"/>
  <c r="L76" i="50" s="1"/>
  <c r="J75" i="50"/>
  <c r="L75" i="50" s="1"/>
  <c r="J74" i="50"/>
  <c r="L74" i="50" s="1"/>
  <c r="J143" i="50"/>
  <c r="L143" i="50" s="1"/>
  <c r="J73" i="50"/>
  <c r="L73" i="50" s="1"/>
  <c r="J72" i="50"/>
  <c r="L72" i="50" s="1"/>
  <c r="J71" i="50"/>
  <c r="L71" i="50" s="1"/>
  <c r="J70" i="50"/>
  <c r="L70" i="50" s="1"/>
  <c r="J69" i="50"/>
  <c r="L69" i="50" s="1"/>
  <c r="J68" i="50"/>
  <c r="L68" i="50" s="1"/>
  <c r="J67" i="50"/>
  <c r="L67" i="50" s="1"/>
  <c r="J66" i="50"/>
  <c r="L66" i="50" s="1"/>
  <c r="J63" i="50"/>
  <c r="L63" i="50" s="1"/>
  <c r="J61" i="50"/>
  <c r="L61" i="50" s="1"/>
  <c r="J58" i="50"/>
  <c r="L58" i="50" s="1"/>
  <c r="J57" i="50"/>
  <c r="L57" i="50" s="1"/>
  <c r="J97" i="50"/>
  <c r="L97" i="50" s="1"/>
  <c r="J56" i="50"/>
  <c r="L56" i="50" s="1"/>
  <c r="J55" i="50"/>
  <c r="L55" i="50" s="1"/>
  <c r="J54" i="50"/>
  <c r="L54" i="50" s="1"/>
  <c r="J53" i="50"/>
  <c r="L53" i="50" s="1"/>
  <c r="J52" i="50"/>
  <c r="L52" i="50" s="1"/>
  <c r="J82" i="50"/>
  <c r="L82" i="50" s="1"/>
  <c r="J81" i="50"/>
  <c r="L81" i="50" s="1"/>
  <c r="J80" i="50"/>
  <c r="L80" i="50" s="1"/>
  <c r="J79" i="50"/>
  <c r="L79" i="50" s="1"/>
  <c r="J78" i="50"/>
  <c r="L78" i="50" s="1"/>
  <c r="J51" i="50"/>
  <c r="L51" i="50" s="1"/>
  <c r="J50" i="50"/>
  <c r="L50" i="50" s="1"/>
  <c r="J49" i="50"/>
  <c r="L49" i="50" s="1"/>
  <c r="J47" i="50"/>
  <c r="L47" i="50" s="1"/>
  <c r="J46" i="50"/>
  <c r="L46" i="50" s="1"/>
  <c r="J45" i="50"/>
  <c r="L45" i="50" s="1"/>
  <c r="J44" i="50"/>
  <c r="L44" i="50" s="1"/>
  <c r="J43" i="50"/>
  <c r="L43" i="50" s="1"/>
  <c r="J42" i="50"/>
  <c r="L42" i="50" s="1"/>
  <c r="J41" i="50"/>
  <c r="L41" i="50" s="1"/>
  <c r="J40" i="50"/>
  <c r="L40" i="50" s="1"/>
  <c r="J39" i="50"/>
  <c r="L39" i="50" s="1"/>
  <c r="J38" i="50"/>
  <c r="L38" i="50" s="1"/>
  <c r="J37" i="50"/>
  <c r="L37" i="50" s="1"/>
  <c r="J36" i="50"/>
  <c r="L36" i="50" s="1"/>
  <c r="J35" i="50"/>
  <c r="L35" i="50" s="1"/>
  <c r="J34" i="50"/>
  <c r="L34" i="50" s="1"/>
  <c r="J33" i="50"/>
  <c r="L33" i="50" s="1"/>
  <c r="J32" i="50"/>
  <c r="L32" i="50" s="1"/>
  <c r="J31" i="50"/>
  <c r="L31" i="50" s="1"/>
  <c r="J30" i="50"/>
  <c r="L30" i="50" s="1"/>
  <c r="J29" i="50"/>
  <c r="L29" i="50" s="1"/>
  <c r="J28" i="50"/>
  <c r="L28" i="50" s="1"/>
  <c r="J27" i="50"/>
  <c r="L27" i="50" s="1"/>
  <c r="J26" i="50"/>
  <c r="L26" i="50" s="1"/>
  <c r="J25" i="50"/>
  <c r="L25" i="50" s="1"/>
  <c r="J24" i="50"/>
  <c r="L24" i="50" s="1"/>
  <c r="J23" i="50"/>
  <c r="L23" i="50" s="1"/>
  <c r="J22" i="50"/>
  <c r="L22" i="50" s="1"/>
  <c r="J21" i="50"/>
  <c r="L21" i="50" s="1"/>
  <c r="J20" i="50"/>
  <c r="L20" i="50" s="1"/>
  <c r="J19" i="50"/>
  <c r="L19" i="50" s="1"/>
  <c r="J18" i="50"/>
  <c r="L18" i="50" s="1"/>
  <c r="J17" i="50"/>
  <c r="L17" i="50" s="1"/>
  <c r="J16" i="50"/>
  <c r="L16" i="50" s="1"/>
  <c r="J15" i="50"/>
  <c r="L15" i="50" s="1"/>
  <c r="J14" i="50"/>
  <c r="L14" i="50" s="1"/>
  <c r="J13" i="50"/>
  <c r="L13" i="50" s="1"/>
  <c r="J12" i="50"/>
  <c r="L12" i="50" s="1"/>
  <c r="J11" i="50"/>
  <c r="L11" i="50" s="1"/>
  <c r="J10" i="50"/>
  <c r="J9" i="50"/>
  <c r="L9" i="50" s="1"/>
  <c r="J8" i="50"/>
  <c r="L8" i="50" s="1"/>
  <c r="A8" i="50"/>
  <c r="J7" i="50"/>
  <c r="L7" i="50" s="1"/>
  <c r="F311" i="48"/>
  <c r="G298" i="48"/>
  <c r="G311" i="48" s="1"/>
  <c r="H298" i="48"/>
  <c r="I298" i="48"/>
  <c r="J298" i="48"/>
  <c r="K298" i="48"/>
  <c r="F298" i="48"/>
  <c r="A290" i="48"/>
  <c r="A291" i="48"/>
  <c r="A292" i="48"/>
  <c r="A293" i="48"/>
  <c r="A294" i="48" s="1"/>
  <c r="A295" i="48" s="1"/>
  <c r="A296" i="48" s="1"/>
  <c r="J240" i="48"/>
  <c r="K240" i="48"/>
  <c r="K311" i="48" s="1"/>
  <c r="L240" i="48"/>
  <c r="G240" i="48"/>
  <c r="H240" i="48"/>
  <c r="I240" i="48"/>
  <c r="F240" i="48"/>
  <c r="J200" i="48"/>
  <c r="L200" i="48" s="1"/>
  <c r="L202" i="48"/>
  <c r="J295" i="48"/>
  <c r="L295" i="48" s="1"/>
  <c r="J296" i="48"/>
  <c r="L296" i="48" s="1"/>
  <c r="J237" i="48"/>
  <c r="L237" i="48"/>
  <c r="J238" i="48"/>
  <c r="L238" i="48" s="1"/>
  <c r="J239" i="48"/>
  <c r="L239" i="48" s="1"/>
  <c r="J310" i="48"/>
  <c r="L310" i="48" s="1"/>
  <c r="J309" i="48"/>
  <c r="L309" i="48" s="1"/>
  <c r="J308" i="48"/>
  <c r="L308" i="48" s="1"/>
  <c r="J307" i="48"/>
  <c r="L307" i="48" s="1"/>
  <c r="J306" i="48"/>
  <c r="L306" i="48" s="1"/>
  <c r="J305" i="48"/>
  <c r="L305" i="48" s="1"/>
  <c r="J304" i="48"/>
  <c r="L304" i="48" s="1"/>
  <c r="J303" i="48"/>
  <c r="L303" i="48" s="1"/>
  <c r="J302" i="48"/>
  <c r="L302" i="48" s="1"/>
  <c r="J301" i="48"/>
  <c r="L301" i="48" s="1"/>
  <c r="A301" i="48"/>
  <c r="A302" i="48" s="1"/>
  <c r="A303" i="48" s="1"/>
  <c r="A304" i="48" s="1"/>
  <c r="A305" i="48" s="1"/>
  <c r="A306" i="48" s="1"/>
  <c r="A307" i="48" s="1"/>
  <c r="A308" i="48" s="1"/>
  <c r="A309" i="48" s="1"/>
  <c r="A310" i="48" s="1"/>
  <c r="J300" i="48"/>
  <c r="L300" i="48" s="1"/>
  <c r="J294" i="48"/>
  <c r="L294" i="48" s="1"/>
  <c r="J293" i="48"/>
  <c r="L293" i="48" s="1"/>
  <c r="J292" i="48"/>
  <c r="L292" i="48" s="1"/>
  <c r="J291" i="48"/>
  <c r="L291" i="48" s="1"/>
  <c r="J290" i="48"/>
  <c r="L290" i="48" s="1"/>
  <c r="J289" i="48"/>
  <c r="L289" i="48" s="1"/>
  <c r="J288" i="48"/>
  <c r="L288" i="48" s="1"/>
  <c r="J287" i="48"/>
  <c r="L287" i="48" s="1"/>
  <c r="J286" i="48"/>
  <c r="L286" i="48" s="1"/>
  <c r="J285" i="48"/>
  <c r="L285" i="48" s="1"/>
  <c r="J284" i="48"/>
  <c r="L284" i="48" s="1"/>
  <c r="J283" i="48"/>
  <c r="L283" i="48" s="1"/>
  <c r="J282" i="48"/>
  <c r="L282" i="48" s="1"/>
  <c r="J281" i="48"/>
  <c r="L281" i="48" s="1"/>
  <c r="J280" i="48"/>
  <c r="L280" i="48" s="1"/>
  <c r="J279" i="48"/>
  <c r="L279" i="48" s="1"/>
  <c r="J278" i="48"/>
  <c r="L278" i="48" s="1"/>
  <c r="J277" i="48"/>
  <c r="L277" i="48" s="1"/>
  <c r="J276" i="48"/>
  <c r="L276" i="48" s="1"/>
  <c r="J275" i="48"/>
  <c r="L275" i="48" s="1"/>
  <c r="J274" i="48"/>
  <c r="L274" i="48" s="1"/>
  <c r="J273" i="48"/>
  <c r="L273" i="48" s="1"/>
  <c r="J272" i="48"/>
  <c r="L272" i="48" s="1"/>
  <c r="J271" i="48"/>
  <c r="L271" i="48" s="1"/>
  <c r="J270" i="48"/>
  <c r="L270" i="48" s="1"/>
  <c r="J269" i="48"/>
  <c r="L269" i="48" s="1"/>
  <c r="J268" i="48"/>
  <c r="L268" i="48" s="1"/>
  <c r="J267" i="48"/>
  <c r="L267" i="48" s="1"/>
  <c r="J266" i="48"/>
  <c r="L266" i="48" s="1"/>
  <c r="J265" i="48"/>
  <c r="L265" i="48" s="1"/>
  <c r="J264" i="48"/>
  <c r="L264" i="48" s="1"/>
  <c r="J263" i="48"/>
  <c r="L263" i="48" s="1"/>
  <c r="J262" i="48"/>
  <c r="L262" i="48" s="1"/>
  <c r="J261" i="48"/>
  <c r="L261" i="48" s="1"/>
  <c r="J260" i="48"/>
  <c r="L260" i="48" s="1"/>
  <c r="J259" i="48"/>
  <c r="L259" i="48" s="1"/>
  <c r="J258" i="48"/>
  <c r="L258" i="48" s="1"/>
  <c r="J257" i="48"/>
  <c r="L257" i="48" s="1"/>
  <c r="J256" i="48"/>
  <c r="L256" i="48" s="1"/>
  <c r="J255" i="48"/>
  <c r="L255" i="48" s="1"/>
  <c r="J254" i="48"/>
  <c r="L254" i="48" s="1"/>
  <c r="J253" i="48"/>
  <c r="L253" i="48" s="1"/>
  <c r="J252" i="48"/>
  <c r="L252" i="48" s="1"/>
  <c r="J251" i="48"/>
  <c r="L251" i="48" s="1"/>
  <c r="J250" i="48"/>
  <c r="L250" i="48" s="1"/>
  <c r="J249" i="48"/>
  <c r="L249" i="48" s="1"/>
  <c r="J248" i="48"/>
  <c r="L248" i="48" s="1"/>
  <c r="J247" i="48"/>
  <c r="L247" i="48" s="1"/>
  <c r="J246" i="48"/>
  <c r="L246" i="48" s="1"/>
  <c r="J245" i="48"/>
  <c r="L245" i="48" s="1"/>
  <c r="J244" i="48"/>
  <c r="L244" i="48" s="1"/>
  <c r="A244" i="48"/>
  <c r="A245" i="48" s="1"/>
  <c r="A246" i="48" s="1"/>
  <c r="A247" i="48" s="1"/>
  <c r="A248" i="48" s="1"/>
  <c r="A249" i="48" s="1"/>
  <c r="A250" i="48" s="1"/>
  <c r="A251" i="48" s="1"/>
  <c r="A252" i="48" s="1"/>
  <c r="A253" i="48" s="1"/>
  <c r="A254" i="48" s="1"/>
  <c r="A255" i="48" s="1"/>
  <c r="A256" i="48" s="1"/>
  <c r="A257" i="48" s="1"/>
  <c r="A258" i="48" s="1"/>
  <c r="A259" i="48" s="1"/>
  <c r="A260" i="48" s="1"/>
  <c r="A261" i="48" s="1"/>
  <c r="A262" i="48" s="1"/>
  <c r="A263" i="48" s="1"/>
  <c r="A264" i="48" s="1"/>
  <c r="A265" i="48" s="1"/>
  <c r="A266" i="48" s="1"/>
  <c r="A267" i="48" s="1"/>
  <c r="A268" i="48" s="1"/>
  <c r="A269" i="48" s="1"/>
  <c r="A270" i="48" s="1"/>
  <c r="A271" i="48" s="1"/>
  <c r="A272" i="48" s="1"/>
  <c r="A273" i="48" s="1"/>
  <c r="A274" i="48" s="1"/>
  <c r="A275" i="48" s="1"/>
  <c r="A276" i="48" s="1"/>
  <c r="A277" i="48" s="1"/>
  <c r="A278" i="48" s="1"/>
  <c r="A279" i="48" s="1"/>
  <c r="A280" i="48" s="1"/>
  <c r="A281" i="48" s="1"/>
  <c r="A282" i="48" s="1"/>
  <c r="A283" i="48" s="1"/>
  <c r="A284" i="48" s="1"/>
  <c r="A285" i="48" s="1"/>
  <c r="A286" i="48" s="1"/>
  <c r="A287" i="48" s="1"/>
  <c r="A288" i="48" s="1"/>
  <c r="A289" i="48" s="1"/>
  <c r="J243" i="48"/>
  <c r="J236" i="48"/>
  <c r="L236" i="48" s="1"/>
  <c r="J235" i="48"/>
  <c r="L235" i="48" s="1"/>
  <c r="J234" i="48"/>
  <c r="L234" i="48" s="1"/>
  <c r="J233" i="48"/>
  <c r="L233" i="48" s="1"/>
  <c r="J232" i="48"/>
  <c r="L232" i="48" s="1"/>
  <c r="J231" i="48"/>
  <c r="L231" i="48" s="1"/>
  <c r="J230" i="48"/>
  <c r="L230" i="48" s="1"/>
  <c r="J229" i="48"/>
  <c r="L229" i="48" s="1"/>
  <c r="J228" i="48"/>
  <c r="L228" i="48" s="1"/>
  <c r="J227" i="48"/>
  <c r="L227" i="48" s="1"/>
  <c r="J226" i="48"/>
  <c r="L226" i="48" s="1"/>
  <c r="J225" i="48"/>
  <c r="L225" i="48" s="1"/>
  <c r="J224" i="48"/>
  <c r="L224" i="48" s="1"/>
  <c r="J223" i="48"/>
  <c r="L223" i="48" s="1"/>
  <c r="J222" i="48"/>
  <c r="L222" i="48" s="1"/>
  <c r="J221" i="48"/>
  <c r="L221" i="48" s="1"/>
  <c r="J220" i="48"/>
  <c r="L220" i="48" s="1"/>
  <c r="J219" i="48"/>
  <c r="L219" i="48" s="1"/>
  <c r="J218" i="48"/>
  <c r="L218" i="48" s="1"/>
  <c r="J217" i="48"/>
  <c r="L217" i="48" s="1"/>
  <c r="J216" i="48"/>
  <c r="L216" i="48" s="1"/>
  <c r="J215" i="48"/>
  <c r="L215" i="48" s="1"/>
  <c r="J214" i="48"/>
  <c r="L214" i="48" s="1"/>
  <c r="J213" i="48"/>
  <c r="L213" i="48" s="1"/>
  <c r="J212" i="48"/>
  <c r="L212" i="48" s="1"/>
  <c r="J211" i="48"/>
  <c r="L211" i="48" s="1"/>
  <c r="J210" i="48"/>
  <c r="L210" i="48" s="1"/>
  <c r="J209" i="48"/>
  <c r="L209" i="48" s="1"/>
  <c r="J208" i="48"/>
  <c r="L208" i="48" s="1"/>
  <c r="J207" i="48"/>
  <c r="L207" i="48" s="1"/>
  <c r="J206" i="48"/>
  <c r="L206" i="48" s="1"/>
  <c r="J205" i="48"/>
  <c r="L205" i="48" s="1"/>
  <c r="J204" i="48"/>
  <c r="L204" i="48" s="1"/>
  <c r="J203" i="48"/>
  <c r="L203" i="48" s="1"/>
  <c r="J202" i="48"/>
  <c r="J201" i="48"/>
  <c r="L201" i="48" s="1"/>
  <c r="J199" i="48"/>
  <c r="L199" i="48" s="1"/>
  <c r="J198" i="48"/>
  <c r="L198" i="48" s="1"/>
  <c r="J197" i="48"/>
  <c r="L197" i="48" s="1"/>
  <c r="J196" i="48"/>
  <c r="L196" i="48" s="1"/>
  <c r="J195" i="48"/>
  <c r="L195" i="48" s="1"/>
  <c r="J194" i="48"/>
  <c r="L194" i="48" s="1"/>
  <c r="J193" i="48"/>
  <c r="L193" i="48" s="1"/>
  <c r="J192" i="48"/>
  <c r="L192" i="48" s="1"/>
  <c r="J191" i="48"/>
  <c r="L191" i="48" s="1"/>
  <c r="J190" i="48"/>
  <c r="L190" i="48" s="1"/>
  <c r="J189" i="48"/>
  <c r="L189" i="48" s="1"/>
  <c r="J188" i="48"/>
  <c r="L188" i="48" s="1"/>
  <c r="J187" i="48"/>
  <c r="L187" i="48" s="1"/>
  <c r="J186" i="48"/>
  <c r="L186" i="48" s="1"/>
  <c r="J185" i="48"/>
  <c r="L185" i="48" s="1"/>
  <c r="J184" i="48"/>
  <c r="L184" i="48" s="1"/>
  <c r="J183" i="48"/>
  <c r="L183" i="48" s="1"/>
  <c r="J182" i="48"/>
  <c r="L182" i="48" s="1"/>
  <c r="J181" i="48"/>
  <c r="L181" i="48" s="1"/>
  <c r="J180" i="48"/>
  <c r="L180" i="48" s="1"/>
  <c r="J179" i="48"/>
  <c r="L179" i="48" s="1"/>
  <c r="J178" i="48"/>
  <c r="L178" i="48" s="1"/>
  <c r="J177" i="48"/>
  <c r="L177" i="48" s="1"/>
  <c r="J176" i="48"/>
  <c r="L176" i="48" s="1"/>
  <c r="J175" i="48"/>
  <c r="L175" i="48" s="1"/>
  <c r="J174" i="48"/>
  <c r="L174" i="48" s="1"/>
  <c r="J173" i="48"/>
  <c r="L173" i="48" s="1"/>
  <c r="J172" i="48"/>
  <c r="L172" i="48" s="1"/>
  <c r="J171" i="48"/>
  <c r="L171" i="48" s="1"/>
  <c r="J170" i="48"/>
  <c r="L170" i="48" s="1"/>
  <c r="J169" i="48"/>
  <c r="L169" i="48" s="1"/>
  <c r="J168" i="48"/>
  <c r="L168" i="48" s="1"/>
  <c r="J167" i="48"/>
  <c r="L167" i="48" s="1"/>
  <c r="J166" i="48"/>
  <c r="L166" i="48" s="1"/>
  <c r="J165" i="48"/>
  <c r="L165" i="48" s="1"/>
  <c r="J164" i="48"/>
  <c r="L164" i="48" s="1"/>
  <c r="J163" i="48"/>
  <c r="L163" i="48" s="1"/>
  <c r="J162" i="48"/>
  <c r="L162" i="48" s="1"/>
  <c r="J161" i="48"/>
  <c r="L161" i="48" s="1"/>
  <c r="J160" i="48"/>
  <c r="L160" i="48" s="1"/>
  <c r="J159" i="48"/>
  <c r="L159" i="48" s="1"/>
  <c r="J158" i="48"/>
  <c r="L158" i="48" s="1"/>
  <c r="J157" i="48"/>
  <c r="L157" i="48" s="1"/>
  <c r="J156" i="48"/>
  <c r="L156" i="48" s="1"/>
  <c r="J155" i="48"/>
  <c r="L155" i="48" s="1"/>
  <c r="J154" i="48"/>
  <c r="L154" i="48" s="1"/>
  <c r="J153" i="48"/>
  <c r="L153" i="48" s="1"/>
  <c r="J152" i="48"/>
  <c r="L152" i="48" s="1"/>
  <c r="J151" i="48"/>
  <c r="L151" i="48" s="1"/>
  <c r="J150" i="48"/>
  <c r="L150" i="48" s="1"/>
  <c r="J149" i="48"/>
  <c r="L149" i="48" s="1"/>
  <c r="J148" i="48"/>
  <c r="L148" i="48" s="1"/>
  <c r="J147" i="48"/>
  <c r="L147" i="48" s="1"/>
  <c r="J146" i="48"/>
  <c r="L146" i="48" s="1"/>
  <c r="J145" i="48"/>
  <c r="L145" i="48" s="1"/>
  <c r="J144" i="48"/>
  <c r="L144" i="48" s="1"/>
  <c r="J143" i="48"/>
  <c r="L143" i="48" s="1"/>
  <c r="J142" i="48"/>
  <c r="L142" i="48" s="1"/>
  <c r="J141" i="48"/>
  <c r="L141" i="48" s="1"/>
  <c r="J140" i="48"/>
  <c r="L140" i="48" s="1"/>
  <c r="J139" i="48"/>
  <c r="L139" i="48" s="1"/>
  <c r="J138" i="48"/>
  <c r="L138" i="48" s="1"/>
  <c r="J137" i="48"/>
  <c r="L137" i="48" s="1"/>
  <c r="J136" i="48"/>
  <c r="L136" i="48" s="1"/>
  <c r="J135" i="48"/>
  <c r="L135" i="48" s="1"/>
  <c r="J134" i="48"/>
  <c r="L134" i="48" s="1"/>
  <c r="J133" i="48"/>
  <c r="L133" i="48" s="1"/>
  <c r="J132" i="48"/>
  <c r="L132" i="48" s="1"/>
  <c r="J131" i="48"/>
  <c r="L131" i="48" s="1"/>
  <c r="J130" i="48"/>
  <c r="L130" i="48" s="1"/>
  <c r="J129" i="48"/>
  <c r="L129" i="48" s="1"/>
  <c r="J128" i="48"/>
  <c r="L128" i="48" s="1"/>
  <c r="J127" i="48"/>
  <c r="L127" i="48" s="1"/>
  <c r="J126" i="48"/>
  <c r="L126" i="48" s="1"/>
  <c r="J125" i="48"/>
  <c r="L125" i="48" s="1"/>
  <c r="J124" i="48"/>
  <c r="L124" i="48" s="1"/>
  <c r="J123" i="48"/>
  <c r="L123" i="48" s="1"/>
  <c r="J122" i="48"/>
  <c r="L122" i="48" s="1"/>
  <c r="J121" i="48"/>
  <c r="L121" i="48" s="1"/>
  <c r="J120" i="48"/>
  <c r="L120" i="48" s="1"/>
  <c r="J119" i="48"/>
  <c r="L119" i="48" s="1"/>
  <c r="J118" i="48"/>
  <c r="L118" i="48" s="1"/>
  <c r="J117" i="48"/>
  <c r="L117" i="48" s="1"/>
  <c r="J116" i="48"/>
  <c r="L116" i="48" s="1"/>
  <c r="J115" i="48"/>
  <c r="L115" i="48" s="1"/>
  <c r="J114" i="48"/>
  <c r="L114" i="48" s="1"/>
  <c r="J113" i="48"/>
  <c r="L113" i="48" s="1"/>
  <c r="J112" i="48"/>
  <c r="L112" i="48" s="1"/>
  <c r="J111" i="48"/>
  <c r="L111" i="48" s="1"/>
  <c r="J110" i="48"/>
  <c r="L110" i="48" s="1"/>
  <c r="J109" i="48"/>
  <c r="L109" i="48" s="1"/>
  <c r="J108" i="48"/>
  <c r="L108" i="48" s="1"/>
  <c r="J107" i="48"/>
  <c r="L107" i="48" s="1"/>
  <c r="J106" i="48"/>
  <c r="L106" i="48" s="1"/>
  <c r="J105" i="48"/>
  <c r="L105" i="48" s="1"/>
  <c r="J104" i="48"/>
  <c r="L104" i="48" s="1"/>
  <c r="J103" i="48"/>
  <c r="L103" i="48" s="1"/>
  <c r="J102" i="48"/>
  <c r="L102" i="48" s="1"/>
  <c r="J101" i="48"/>
  <c r="L101" i="48" s="1"/>
  <c r="J100" i="48"/>
  <c r="L100" i="48" s="1"/>
  <c r="J99" i="48"/>
  <c r="L99" i="48" s="1"/>
  <c r="J98" i="48"/>
  <c r="L98" i="48" s="1"/>
  <c r="J97" i="48"/>
  <c r="L97" i="48" s="1"/>
  <c r="J96" i="48"/>
  <c r="L96" i="48" s="1"/>
  <c r="J95" i="48"/>
  <c r="L95" i="48" s="1"/>
  <c r="J94" i="48"/>
  <c r="L94" i="48" s="1"/>
  <c r="J93" i="48"/>
  <c r="L93" i="48" s="1"/>
  <c r="J92" i="48"/>
  <c r="L92" i="48" s="1"/>
  <c r="J91" i="48"/>
  <c r="L91" i="48" s="1"/>
  <c r="J90" i="48"/>
  <c r="L90" i="48" s="1"/>
  <c r="J89" i="48"/>
  <c r="L89" i="48" s="1"/>
  <c r="J88" i="48"/>
  <c r="L88" i="48" s="1"/>
  <c r="J87" i="48"/>
  <c r="L87" i="48" s="1"/>
  <c r="J86" i="48"/>
  <c r="L86" i="48" s="1"/>
  <c r="J85" i="48"/>
  <c r="L85" i="48" s="1"/>
  <c r="J84" i="48"/>
  <c r="L84" i="48" s="1"/>
  <c r="J83" i="48"/>
  <c r="L83" i="48" s="1"/>
  <c r="J82" i="48"/>
  <c r="L82" i="48" s="1"/>
  <c r="J81" i="48"/>
  <c r="L81" i="48" s="1"/>
  <c r="J80" i="48"/>
  <c r="L80" i="48" s="1"/>
  <c r="J79" i="48"/>
  <c r="L79" i="48" s="1"/>
  <c r="J78" i="48"/>
  <c r="L78" i="48" s="1"/>
  <c r="J77" i="48"/>
  <c r="L77" i="48" s="1"/>
  <c r="J76" i="48"/>
  <c r="L76" i="48" s="1"/>
  <c r="J75" i="48"/>
  <c r="L75" i="48" s="1"/>
  <c r="J74" i="48"/>
  <c r="L74" i="48" s="1"/>
  <c r="J73" i="48"/>
  <c r="L73" i="48" s="1"/>
  <c r="J72" i="48"/>
  <c r="L72" i="48" s="1"/>
  <c r="J71" i="48"/>
  <c r="L71" i="48" s="1"/>
  <c r="J70" i="48"/>
  <c r="L70" i="48" s="1"/>
  <c r="J69" i="48"/>
  <c r="L69" i="48" s="1"/>
  <c r="J68" i="48"/>
  <c r="L68" i="48" s="1"/>
  <c r="J67" i="48"/>
  <c r="L67" i="48" s="1"/>
  <c r="J66" i="48"/>
  <c r="L66" i="48" s="1"/>
  <c r="J65" i="48"/>
  <c r="L65" i="48" s="1"/>
  <c r="J64" i="48"/>
  <c r="L64" i="48" s="1"/>
  <c r="J63" i="48"/>
  <c r="L63" i="48" s="1"/>
  <c r="J62" i="48"/>
  <c r="L62" i="48" s="1"/>
  <c r="J61" i="48"/>
  <c r="L61" i="48" s="1"/>
  <c r="J60" i="48"/>
  <c r="L60" i="48" s="1"/>
  <c r="J59" i="48"/>
  <c r="L59" i="48" s="1"/>
  <c r="J58" i="48"/>
  <c r="L58" i="48" s="1"/>
  <c r="J57" i="48"/>
  <c r="L57" i="48" s="1"/>
  <c r="J56" i="48"/>
  <c r="L56" i="48" s="1"/>
  <c r="J55" i="48"/>
  <c r="L55" i="48" s="1"/>
  <c r="J54" i="48"/>
  <c r="L54" i="48" s="1"/>
  <c r="J53" i="48"/>
  <c r="L53" i="48" s="1"/>
  <c r="J52" i="48"/>
  <c r="L52" i="48" s="1"/>
  <c r="J51" i="48"/>
  <c r="L51" i="48" s="1"/>
  <c r="J50" i="48"/>
  <c r="L50" i="48" s="1"/>
  <c r="J49" i="48"/>
  <c r="L49" i="48" s="1"/>
  <c r="J48" i="48"/>
  <c r="L48" i="48" s="1"/>
  <c r="J47" i="48"/>
  <c r="L47" i="48" s="1"/>
  <c r="J46" i="48"/>
  <c r="L46" i="48" s="1"/>
  <c r="J45" i="48"/>
  <c r="L45" i="48" s="1"/>
  <c r="J44" i="48"/>
  <c r="L44" i="48" s="1"/>
  <c r="J43" i="48"/>
  <c r="L43" i="48" s="1"/>
  <c r="J42" i="48"/>
  <c r="L42" i="48" s="1"/>
  <c r="J41" i="48"/>
  <c r="L41" i="48" s="1"/>
  <c r="J40" i="48"/>
  <c r="L40" i="48" s="1"/>
  <c r="J39" i="48"/>
  <c r="L39" i="48" s="1"/>
  <c r="J38" i="48"/>
  <c r="L38" i="48" s="1"/>
  <c r="J37" i="48"/>
  <c r="L37" i="48" s="1"/>
  <c r="J36" i="48"/>
  <c r="L36" i="48" s="1"/>
  <c r="J35" i="48"/>
  <c r="L35" i="48" s="1"/>
  <c r="J34" i="48"/>
  <c r="L34" i="48" s="1"/>
  <c r="J33" i="48"/>
  <c r="L33" i="48" s="1"/>
  <c r="J32" i="48"/>
  <c r="L32" i="48" s="1"/>
  <c r="J31" i="48"/>
  <c r="L31" i="48" s="1"/>
  <c r="J30" i="48"/>
  <c r="L30" i="48" s="1"/>
  <c r="J29" i="48"/>
  <c r="L29" i="48" s="1"/>
  <c r="J28" i="48"/>
  <c r="L28" i="48" s="1"/>
  <c r="J27" i="48"/>
  <c r="L27" i="48" s="1"/>
  <c r="J26" i="48"/>
  <c r="L26" i="48" s="1"/>
  <c r="J25" i="48"/>
  <c r="L25" i="48" s="1"/>
  <c r="J24" i="48"/>
  <c r="L24" i="48" s="1"/>
  <c r="J23" i="48"/>
  <c r="L23" i="48" s="1"/>
  <c r="J22" i="48"/>
  <c r="L22" i="48" s="1"/>
  <c r="J21" i="48"/>
  <c r="L21" i="48" s="1"/>
  <c r="J20" i="48"/>
  <c r="L20" i="48" s="1"/>
  <c r="J19" i="48"/>
  <c r="L19" i="48" s="1"/>
  <c r="J18" i="48"/>
  <c r="L18" i="48" s="1"/>
  <c r="J17" i="48"/>
  <c r="L17" i="48" s="1"/>
  <c r="J16" i="48"/>
  <c r="L16" i="48" s="1"/>
  <c r="J15" i="48"/>
  <c r="L15" i="48" s="1"/>
  <c r="J14" i="48"/>
  <c r="L14" i="48" s="1"/>
  <c r="J13" i="48"/>
  <c r="L13" i="48" s="1"/>
  <c r="J12" i="48"/>
  <c r="L12" i="48" s="1"/>
  <c r="J11" i="48"/>
  <c r="L11" i="48" s="1"/>
  <c r="J10" i="48"/>
  <c r="L10" i="48" s="1"/>
  <c r="J9" i="48"/>
  <c r="L9" i="48" s="1"/>
  <c r="J8" i="48"/>
  <c r="L8" i="48" s="1"/>
  <c r="A8" i="48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43" i="48" s="1"/>
  <c r="A44" i="48" s="1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A58" i="48" s="1"/>
  <c r="A59" i="48" s="1"/>
  <c r="A60" i="48" s="1"/>
  <c r="A61" i="48" s="1"/>
  <c r="A62" i="48" s="1"/>
  <c r="A63" i="48" s="1"/>
  <c r="A64" i="48" s="1"/>
  <c r="A65" i="48" s="1"/>
  <c r="A66" i="48" s="1"/>
  <c r="A67" i="48" s="1"/>
  <c r="A68" i="48" s="1"/>
  <c r="A69" i="48" s="1"/>
  <c r="A70" i="48" s="1"/>
  <c r="A71" i="48" s="1"/>
  <c r="A72" i="48" s="1"/>
  <c r="A73" i="48" s="1"/>
  <c r="A74" i="48" s="1"/>
  <c r="A75" i="48" s="1"/>
  <c r="A76" i="48" s="1"/>
  <c r="A77" i="48" s="1"/>
  <c r="A78" i="48" s="1"/>
  <c r="A79" i="48" s="1"/>
  <c r="A80" i="48" s="1"/>
  <c r="A81" i="48" s="1"/>
  <c r="A82" i="48" s="1"/>
  <c r="A83" i="48" s="1"/>
  <c r="A84" i="48" s="1"/>
  <c r="A85" i="48" s="1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97" i="48" s="1"/>
  <c r="A98" i="48" s="1"/>
  <c r="A99" i="48" s="1"/>
  <c r="A100" i="48" s="1"/>
  <c r="A101" i="48" s="1"/>
  <c r="A102" i="48" s="1"/>
  <c r="A103" i="48" s="1"/>
  <c r="A104" i="48" s="1"/>
  <c r="A105" i="48" s="1"/>
  <c r="A106" i="48" s="1"/>
  <c r="A107" i="48" s="1"/>
  <c r="A108" i="48" s="1"/>
  <c r="A109" i="48" s="1"/>
  <c r="A110" i="48" s="1"/>
  <c r="A111" i="48" s="1"/>
  <c r="A112" i="48" s="1"/>
  <c r="A113" i="48" s="1"/>
  <c r="A114" i="48" s="1"/>
  <c r="A115" i="48" s="1"/>
  <c r="A116" i="48" s="1"/>
  <c r="A117" i="48" s="1"/>
  <c r="A118" i="48" s="1"/>
  <c r="A119" i="48" s="1"/>
  <c r="A120" i="48" s="1"/>
  <c r="A121" i="48" s="1"/>
  <c r="A122" i="48" s="1"/>
  <c r="A123" i="48" s="1"/>
  <c r="A124" i="48" s="1"/>
  <c r="A125" i="48" s="1"/>
  <c r="A126" i="48" s="1"/>
  <c r="A127" i="48" s="1"/>
  <c r="A128" i="48" s="1"/>
  <c r="A129" i="48" s="1"/>
  <c r="A130" i="48" s="1"/>
  <c r="A131" i="48" s="1"/>
  <c r="A132" i="48" s="1"/>
  <c r="A133" i="48" s="1"/>
  <c r="A134" i="48" s="1"/>
  <c r="A135" i="48" s="1"/>
  <c r="A136" i="48" s="1"/>
  <c r="A137" i="48" s="1"/>
  <c r="A138" i="48" s="1"/>
  <c r="A139" i="48" s="1"/>
  <c r="A140" i="48" s="1"/>
  <c r="A141" i="48" s="1"/>
  <c r="A142" i="48" s="1"/>
  <c r="A143" i="48" s="1"/>
  <c r="A144" i="48" s="1"/>
  <c r="A145" i="48" s="1"/>
  <c r="A146" i="48" s="1"/>
  <c r="A147" i="48" s="1"/>
  <c r="A148" i="48" s="1"/>
  <c r="A149" i="48" s="1"/>
  <c r="A150" i="48" s="1"/>
  <c r="A151" i="48" s="1"/>
  <c r="A152" i="48" s="1"/>
  <c r="A153" i="48" s="1"/>
  <c r="A154" i="48" s="1"/>
  <c r="A155" i="48" s="1"/>
  <c r="A156" i="48" s="1"/>
  <c r="A157" i="48" s="1"/>
  <c r="A158" i="48" s="1"/>
  <c r="A159" i="48" s="1"/>
  <c r="A160" i="48" s="1"/>
  <c r="A161" i="48" s="1"/>
  <c r="A162" i="48" s="1"/>
  <c r="A163" i="48" s="1"/>
  <c r="A164" i="48" s="1"/>
  <c r="A165" i="48" s="1"/>
  <c r="A166" i="48" s="1"/>
  <c r="A167" i="48" s="1"/>
  <c r="A168" i="48" s="1"/>
  <c r="A169" i="48" s="1"/>
  <c r="A170" i="48" s="1"/>
  <c r="A171" i="48" s="1"/>
  <c r="A172" i="48" s="1"/>
  <c r="A173" i="48" s="1"/>
  <c r="A174" i="48" s="1"/>
  <c r="A175" i="48" s="1"/>
  <c r="A176" i="48" s="1"/>
  <c r="A177" i="48" s="1"/>
  <c r="A178" i="48" s="1"/>
  <c r="A179" i="48" s="1"/>
  <c r="A180" i="48" s="1"/>
  <c r="A181" i="48" s="1"/>
  <c r="A182" i="48" s="1"/>
  <c r="A183" i="48" s="1"/>
  <c r="A184" i="48" s="1"/>
  <c r="A185" i="48" s="1"/>
  <c r="A186" i="48" s="1"/>
  <c r="A187" i="48" s="1"/>
  <c r="A188" i="48" s="1"/>
  <c r="A189" i="48" s="1"/>
  <c r="A190" i="48" s="1"/>
  <c r="A191" i="48" s="1"/>
  <c r="A192" i="48" s="1"/>
  <c r="A193" i="48" s="1"/>
  <c r="A194" i="48" s="1"/>
  <c r="A195" i="48" s="1"/>
  <c r="A196" i="48" s="1"/>
  <c r="A197" i="48" s="1"/>
  <c r="A198" i="48" s="1"/>
  <c r="A199" i="48" s="1"/>
  <c r="A200" i="48" s="1"/>
  <c r="A201" i="48" s="1"/>
  <c r="A202" i="48" s="1"/>
  <c r="A203" i="48" s="1"/>
  <c r="A204" i="48" s="1"/>
  <c r="A205" i="48" s="1"/>
  <c r="A206" i="48" s="1"/>
  <c r="A207" i="48" s="1"/>
  <c r="A208" i="48" s="1"/>
  <c r="A209" i="48" s="1"/>
  <c r="A210" i="48" s="1"/>
  <c r="A211" i="48" s="1"/>
  <c r="A212" i="48" s="1"/>
  <c r="A213" i="48" s="1"/>
  <c r="A214" i="48" s="1"/>
  <c r="A215" i="48" s="1"/>
  <c r="A216" i="48" s="1"/>
  <c r="A217" i="48" s="1"/>
  <c r="A218" i="48" s="1"/>
  <c r="A219" i="48" s="1"/>
  <c r="A220" i="48" s="1"/>
  <c r="A221" i="48" s="1"/>
  <c r="A222" i="48" s="1"/>
  <c r="A223" i="48" s="1"/>
  <c r="A224" i="48" s="1"/>
  <c r="A225" i="48" s="1"/>
  <c r="A226" i="48" s="1"/>
  <c r="A227" i="48" s="1"/>
  <c r="A228" i="48" s="1"/>
  <c r="A229" i="48" s="1"/>
  <c r="A230" i="48" s="1"/>
  <c r="A231" i="48" s="1"/>
  <c r="A232" i="48" s="1"/>
  <c r="A233" i="48" s="1"/>
  <c r="A234" i="48" s="1"/>
  <c r="A235" i="48" s="1"/>
  <c r="A236" i="48" s="1"/>
  <c r="J7" i="48"/>
  <c r="A242" i="47"/>
  <c r="A243" i="47"/>
  <c r="A244" i="47"/>
  <c r="A245" i="47"/>
  <c r="A246" i="47"/>
  <c r="A247" i="47" s="1"/>
  <c r="A248" i="47" s="1"/>
  <c r="A249" i="47" s="1"/>
  <c r="A250" i="47" s="1"/>
  <c r="A251" i="47" s="1"/>
  <c r="A252" i="47" s="1"/>
  <c r="A253" i="47" s="1"/>
  <c r="A254" i="47" s="1"/>
  <c r="A255" i="47" s="1"/>
  <c r="A256" i="47" s="1"/>
  <c r="A257" i="47" s="1"/>
  <c r="A258" i="47" s="1"/>
  <c r="A259" i="47" s="1"/>
  <c r="A260" i="47" s="1"/>
  <c r="A261" i="47" s="1"/>
  <c r="A262" i="47" s="1"/>
  <c r="A263" i="47" s="1"/>
  <c r="A264" i="47" s="1"/>
  <c r="A265" i="47" s="1"/>
  <c r="A266" i="47" s="1"/>
  <c r="A267" i="47" s="1"/>
  <c r="A268" i="47" s="1"/>
  <c r="A269" i="47" s="1"/>
  <c r="A270" i="47" s="1"/>
  <c r="A271" i="47" s="1"/>
  <c r="A272" i="47" s="1"/>
  <c r="A273" i="47" s="1"/>
  <c r="A274" i="47" s="1"/>
  <c r="A275" i="47" s="1"/>
  <c r="A276" i="47" s="1"/>
  <c r="A277" i="47" s="1"/>
  <c r="A278" i="47" s="1"/>
  <c r="A279" i="47" s="1"/>
  <c r="A280" i="47" s="1"/>
  <c r="A281" i="47" s="1"/>
  <c r="A282" i="47" s="1"/>
  <c r="A283" i="47" s="1"/>
  <c r="A284" i="47" s="1"/>
  <c r="A285" i="47" s="1"/>
  <c r="A286" i="47" s="1"/>
  <c r="A287" i="47" s="1"/>
  <c r="A288" i="47" s="1"/>
  <c r="A289" i="47" s="1"/>
  <c r="A290" i="47" s="1"/>
  <c r="A291" i="47" s="1"/>
  <c r="A24" i="47"/>
  <c r="A25" i="47"/>
  <c r="A26" i="47" s="1"/>
  <c r="A27" i="47" s="1"/>
  <c r="A28" i="47" s="1"/>
  <c r="A29" i="47" s="1"/>
  <c r="A30" i="47" s="1"/>
  <c r="A31" i="47" s="1"/>
  <c r="A32" i="47" s="1"/>
  <c r="A33" i="47" s="1"/>
  <c r="A34" i="47" s="1"/>
  <c r="A35" i="47" s="1"/>
  <c r="A36" i="47" s="1"/>
  <c r="A37" i="47" s="1"/>
  <c r="A38" i="47" s="1"/>
  <c r="A39" i="47" s="1"/>
  <c r="A40" i="47" s="1"/>
  <c r="A41" i="47" s="1"/>
  <c r="A42" i="47" s="1"/>
  <c r="A43" i="47" s="1"/>
  <c r="A44" i="47" s="1"/>
  <c r="A45" i="47" s="1"/>
  <c r="A46" i="47" s="1"/>
  <c r="A47" i="47" s="1"/>
  <c r="A48" i="47" s="1"/>
  <c r="A49" i="47" s="1"/>
  <c r="A50" i="47" s="1"/>
  <c r="A51" i="47" s="1"/>
  <c r="A52" i="47" s="1"/>
  <c r="A53" i="47" s="1"/>
  <c r="A54" i="47" s="1"/>
  <c r="A55" i="47" s="1"/>
  <c r="A56" i="47" s="1"/>
  <c r="A57" i="47" s="1"/>
  <c r="A58" i="47" s="1"/>
  <c r="A59" i="47" s="1"/>
  <c r="A60" i="47" s="1"/>
  <c r="A61" i="47" s="1"/>
  <c r="A62" i="47" s="1"/>
  <c r="A63" i="47" s="1"/>
  <c r="A64" i="47" s="1"/>
  <c r="A65" i="47" s="1"/>
  <c r="A66" i="47" s="1"/>
  <c r="A67" i="47" s="1"/>
  <c r="A68" i="47" s="1"/>
  <c r="A69" i="47" s="1"/>
  <c r="A70" i="47" s="1"/>
  <c r="A71" i="47" s="1"/>
  <c r="A72" i="47" s="1"/>
  <c r="A73" i="47" s="1"/>
  <c r="A74" i="47" s="1"/>
  <c r="A75" i="47" s="1"/>
  <c r="A76" i="47" s="1"/>
  <c r="A77" i="47" s="1"/>
  <c r="A78" i="47" s="1"/>
  <c r="A79" i="47" s="1"/>
  <c r="A80" i="47" s="1"/>
  <c r="A81" i="47" s="1"/>
  <c r="A82" i="47" s="1"/>
  <c r="A83" i="47" s="1"/>
  <c r="A84" i="47" s="1"/>
  <c r="A85" i="47" s="1"/>
  <c r="A86" i="47" s="1"/>
  <c r="A87" i="47" s="1"/>
  <c r="A88" i="47" s="1"/>
  <c r="A89" i="47" s="1"/>
  <c r="A90" i="47" s="1"/>
  <c r="A91" i="47" s="1"/>
  <c r="A92" i="47" s="1"/>
  <c r="A93" i="47" s="1"/>
  <c r="A94" i="47" s="1"/>
  <c r="A95" i="47" s="1"/>
  <c r="A96" i="47" s="1"/>
  <c r="A97" i="47" s="1"/>
  <c r="A98" i="47" s="1"/>
  <c r="A99" i="47" s="1"/>
  <c r="A100" i="47" s="1"/>
  <c r="A101" i="47" s="1"/>
  <c r="A102" i="47" s="1"/>
  <c r="A103" i="47" s="1"/>
  <c r="A104" i="47" s="1"/>
  <c r="A105" i="47" s="1"/>
  <c r="A106" i="47" s="1"/>
  <c r="A107" i="47" s="1"/>
  <c r="A108" i="47" s="1"/>
  <c r="A109" i="47" s="1"/>
  <c r="A110" i="47" s="1"/>
  <c r="A111" i="47" s="1"/>
  <c r="A112" i="47" s="1"/>
  <c r="A113" i="47" s="1"/>
  <c r="A114" i="47" s="1"/>
  <c r="A115" i="47" s="1"/>
  <c r="A116" i="47" s="1"/>
  <c r="A117" i="47" s="1"/>
  <c r="A118" i="47" s="1"/>
  <c r="A119" i="47" s="1"/>
  <c r="A120" i="47" s="1"/>
  <c r="A121" i="47" s="1"/>
  <c r="A122" i="47" s="1"/>
  <c r="A123" i="47" s="1"/>
  <c r="A124" i="47" s="1"/>
  <c r="A125" i="47" s="1"/>
  <c r="A126" i="47" s="1"/>
  <c r="A127" i="47" s="1"/>
  <c r="A128" i="47" s="1"/>
  <c r="A129" i="47" s="1"/>
  <c r="A130" i="47" s="1"/>
  <c r="A131" i="47" s="1"/>
  <c r="A132" i="47" s="1"/>
  <c r="A133" i="47" s="1"/>
  <c r="A134" i="47" s="1"/>
  <c r="A135" i="47" s="1"/>
  <c r="A136" i="47" s="1"/>
  <c r="A137" i="47" s="1"/>
  <c r="A138" i="47" s="1"/>
  <c r="A139" i="47" s="1"/>
  <c r="A140" i="47" s="1"/>
  <c r="A141" i="47" s="1"/>
  <c r="A142" i="47" s="1"/>
  <c r="A143" i="47" s="1"/>
  <c r="A144" i="47" s="1"/>
  <c r="A145" i="47" s="1"/>
  <c r="A146" i="47" s="1"/>
  <c r="A147" i="47" s="1"/>
  <c r="A148" i="47" s="1"/>
  <c r="A149" i="47" s="1"/>
  <c r="A150" i="47" s="1"/>
  <c r="A151" i="47" s="1"/>
  <c r="A152" i="47" s="1"/>
  <c r="A153" i="47" s="1"/>
  <c r="A154" i="47" s="1"/>
  <c r="A155" i="47" s="1"/>
  <c r="A156" i="47" s="1"/>
  <c r="A157" i="47" s="1"/>
  <c r="A158" i="47" s="1"/>
  <c r="A159" i="47" s="1"/>
  <c r="A160" i="47" s="1"/>
  <c r="A161" i="47" s="1"/>
  <c r="A162" i="47" s="1"/>
  <c r="A163" i="47" s="1"/>
  <c r="A164" i="47" s="1"/>
  <c r="A165" i="47" s="1"/>
  <c r="A166" i="47" s="1"/>
  <c r="A167" i="47" s="1"/>
  <c r="A168" i="47" s="1"/>
  <c r="A169" i="47" s="1"/>
  <c r="A170" i="47" s="1"/>
  <c r="A171" i="47" s="1"/>
  <c r="A172" i="47" s="1"/>
  <c r="A173" i="47" s="1"/>
  <c r="A174" i="47" s="1"/>
  <c r="A175" i="47" s="1"/>
  <c r="A176" i="47" s="1"/>
  <c r="A177" i="47" s="1"/>
  <c r="A178" i="47" s="1"/>
  <c r="A179" i="47" s="1"/>
  <c r="A180" i="47" s="1"/>
  <c r="A181" i="47" s="1"/>
  <c r="A182" i="47" s="1"/>
  <c r="A183" i="47" s="1"/>
  <c r="A184" i="47" s="1"/>
  <c r="A185" i="47" s="1"/>
  <c r="A186" i="47" s="1"/>
  <c r="A187" i="47" s="1"/>
  <c r="A188" i="47" s="1"/>
  <c r="A189" i="47" s="1"/>
  <c r="A190" i="47" s="1"/>
  <c r="A191" i="47" s="1"/>
  <c r="A192" i="47" s="1"/>
  <c r="A193" i="47" s="1"/>
  <c r="A194" i="47" s="1"/>
  <c r="A195" i="47" s="1"/>
  <c r="A196" i="47" s="1"/>
  <c r="A197" i="47" s="1"/>
  <c r="A198" i="47" s="1"/>
  <c r="A199" i="47" s="1"/>
  <c r="A200" i="47" s="1"/>
  <c r="A201" i="47" s="1"/>
  <c r="A202" i="47" s="1"/>
  <c r="A203" i="47" s="1"/>
  <c r="A204" i="47" s="1"/>
  <c r="A205" i="47" s="1"/>
  <c r="A206" i="47" s="1"/>
  <c r="A207" i="47" s="1"/>
  <c r="A208" i="47" s="1"/>
  <c r="A209" i="47" s="1"/>
  <c r="A210" i="47" s="1"/>
  <c r="A211" i="47" s="1"/>
  <c r="A212" i="47" s="1"/>
  <c r="A213" i="47" s="1"/>
  <c r="A214" i="47" s="1"/>
  <c r="A215" i="47" s="1"/>
  <c r="A216" i="47" s="1"/>
  <c r="A217" i="47" s="1"/>
  <c r="A218" i="47" s="1"/>
  <c r="A219" i="47" s="1"/>
  <c r="A220" i="47" s="1"/>
  <c r="A221" i="47" s="1"/>
  <c r="A222" i="47" s="1"/>
  <c r="A223" i="47" s="1"/>
  <c r="A224" i="47" s="1"/>
  <c r="A225" i="47" s="1"/>
  <c r="A226" i="47" s="1"/>
  <c r="A227" i="47" s="1"/>
  <c r="A228" i="47" s="1"/>
  <c r="A229" i="47" s="1"/>
  <c r="A230" i="47" s="1"/>
  <c r="A231" i="47" s="1"/>
  <c r="A232" i="47" s="1"/>
  <c r="A233" i="47" s="1"/>
  <c r="A234" i="47" s="1"/>
  <c r="A235" i="47" s="1"/>
  <c r="A236" i="47" s="1"/>
  <c r="A10" i="47"/>
  <c r="A11" i="47"/>
  <c r="A12" i="47"/>
  <c r="A13" i="47"/>
  <c r="A14" i="47" s="1"/>
  <c r="A15" i="47" s="1"/>
  <c r="A16" i="47" s="1"/>
  <c r="A17" i="47" s="1"/>
  <c r="A18" i="47" s="1"/>
  <c r="A19" i="47" s="1"/>
  <c r="A20" i="47" s="1"/>
  <c r="A21" i="47" s="1"/>
  <c r="A22" i="47" s="1"/>
  <c r="A23" i="47" s="1"/>
  <c r="J294" i="47"/>
  <c r="J295" i="47"/>
  <c r="A117" i="53" l="1"/>
  <c r="A118" i="53" s="1"/>
  <c r="A119" i="53" s="1"/>
  <c r="A120" i="53" s="1"/>
  <c r="A121" i="53" s="1"/>
  <c r="A122" i="53" s="1"/>
  <c r="A123" i="53" s="1"/>
  <c r="A124" i="53" s="1"/>
  <c r="A125" i="53" s="1"/>
  <c r="A126" i="53" s="1"/>
  <c r="L317" i="52"/>
  <c r="J329" i="52"/>
  <c r="L304" i="50"/>
  <c r="J304" i="50"/>
  <c r="K317" i="50"/>
  <c r="H317" i="50"/>
  <c r="G317" i="50"/>
  <c r="I317" i="50"/>
  <c r="L10" i="50"/>
  <c r="L240" i="50" s="1"/>
  <c r="I311" i="48"/>
  <c r="A239" i="48"/>
  <c r="A237" i="48" s="1"/>
  <c r="A238" i="48" s="1"/>
  <c r="H311" i="48"/>
  <c r="J311" i="48"/>
  <c r="L7" i="48"/>
  <c r="L243" i="48"/>
  <c r="L298" i="48" s="1"/>
  <c r="L311" i="48" s="1"/>
  <c r="J77" i="47"/>
  <c r="L77" i="47" s="1"/>
  <c r="J189" i="47"/>
  <c r="L189" i="47" s="1"/>
  <c r="J19" i="47"/>
  <c r="L19" i="47" s="1"/>
  <c r="H237" i="47"/>
  <c r="G237" i="47"/>
  <c r="J236" i="47"/>
  <c r="L236" i="47" s="1"/>
  <c r="J235" i="47"/>
  <c r="L235" i="47" s="1"/>
  <c r="J234" i="47"/>
  <c r="L234" i="47" s="1"/>
  <c r="J233" i="47"/>
  <c r="L233" i="47" s="1"/>
  <c r="J232" i="47"/>
  <c r="L232" i="47" s="1"/>
  <c r="J231" i="47"/>
  <c r="L231" i="47" s="1"/>
  <c r="J230" i="47"/>
  <c r="L230" i="47" s="1"/>
  <c r="J229" i="47"/>
  <c r="L229" i="47" s="1"/>
  <c r="J228" i="47"/>
  <c r="L228" i="47" s="1"/>
  <c r="J227" i="47"/>
  <c r="L227" i="47" s="1"/>
  <c r="J226" i="47"/>
  <c r="L226" i="47" s="1"/>
  <c r="F237" i="47"/>
  <c r="A8" i="47"/>
  <c r="A9" i="47" s="1"/>
  <c r="K237" i="47"/>
  <c r="F292" i="47"/>
  <c r="J304" i="47"/>
  <c r="L304" i="47" s="1"/>
  <c r="J303" i="47"/>
  <c r="L303" i="47" s="1"/>
  <c r="J302" i="47"/>
  <c r="L302" i="47" s="1"/>
  <c r="J301" i="47"/>
  <c r="L301" i="47" s="1"/>
  <c r="J300" i="47"/>
  <c r="L300" i="47" s="1"/>
  <c r="J299" i="47"/>
  <c r="L299" i="47" s="1"/>
  <c r="J298" i="47"/>
  <c r="L298" i="47" s="1"/>
  <c r="J297" i="47"/>
  <c r="L297" i="47" s="1"/>
  <c r="J296" i="47"/>
  <c r="L296" i="47" s="1"/>
  <c r="L295" i="47"/>
  <c r="A295" i="47"/>
  <c r="A296" i="47" s="1"/>
  <c r="A297" i="47" s="1"/>
  <c r="A298" i="47" s="1"/>
  <c r="A299" i="47" s="1"/>
  <c r="A300" i="47" s="1"/>
  <c r="A301" i="47" s="1"/>
  <c r="A302" i="47" s="1"/>
  <c r="A303" i="47" s="1"/>
  <c r="A304" i="47" s="1"/>
  <c r="L294" i="47"/>
  <c r="K292" i="47"/>
  <c r="I292" i="47"/>
  <c r="H292" i="47"/>
  <c r="G292" i="47"/>
  <c r="J291" i="47"/>
  <c r="L291" i="47" s="1"/>
  <c r="J290" i="47"/>
  <c r="L290" i="47" s="1"/>
  <c r="J289" i="47"/>
  <c r="L289" i="47" s="1"/>
  <c r="J288" i="47"/>
  <c r="L288" i="47" s="1"/>
  <c r="J287" i="47"/>
  <c r="L287" i="47" s="1"/>
  <c r="J286" i="47"/>
  <c r="L286" i="47" s="1"/>
  <c r="J285" i="47"/>
  <c r="L285" i="47" s="1"/>
  <c r="J284" i="47"/>
  <c r="L284" i="47" s="1"/>
  <c r="J283" i="47"/>
  <c r="L283" i="47" s="1"/>
  <c r="J282" i="47"/>
  <c r="L282" i="47" s="1"/>
  <c r="J281" i="47"/>
  <c r="L281" i="47" s="1"/>
  <c r="J280" i="47"/>
  <c r="L280" i="47" s="1"/>
  <c r="J279" i="47"/>
  <c r="L279" i="47" s="1"/>
  <c r="J278" i="47"/>
  <c r="L278" i="47" s="1"/>
  <c r="J277" i="47"/>
  <c r="L277" i="47" s="1"/>
  <c r="J276" i="47"/>
  <c r="L276" i="47" s="1"/>
  <c r="J275" i="47"/>
  <c r="L275" i="47" s="1"/>
  <c r="J274" i="47"/>
  <c r="L274" i="47" s="1"/>
  <c r="J273" i="47"/>
  <c r="L273" i="47" s="1"/>
  <c r="J272" i="47"/>
  <c r="L272" i="47" s="1"/>
  <c r="J271" i="47"/>
  <c r="L271" i="47" s="1"/>
  <c r="J270" i="47"/>
  <c r="L270" i="47" s="1"/>
  <c r="J269" i="47"/>
  <c r="L269" i="47" s="1"/>
  <c r="J268" i="47"/>
  <c r="L268" i="47" s="1"/>
  <c r="J267" i="47"/>
  <c r="L267" i="47" s="1"/>
  <c r="J266" i="47"/>
  <c r="L266" i="47" s="1"/>
  <c r="J265" i="47"/>
  <c r="L265" i="47" s="1"/>
  <c r="J264" i="47"/>
  <c r="L264" i="47" s="1"/>
  <c r="J263" i="47"/>
  <c r="L263" i="47" s="1"/>
  <c r="J262" i="47"/>
  <c r="L262" i="47" s="1"/>
  <c r="J261" i="47"/>
  <c r="L261" i="47" s="1"/>
  <c r="J260" i="47"/>
  <c r="L260" i="47" s="1"/>
  <c r="J259" i="47"/>
  <c r="L259" i="47" s="1"/>
  <c r="J258" i="47"/>
  <c r="L258" i="47" s="1"/>
  <c r="J257" i="47"/>
  <c r="L257" i="47" s="1"/>
  <c r="J256" i="47"/>
  <c r="L256" i="47" s="1"/>
  <c r="J255" i="47"/>
  <c r="L255" i="47" s="1"/>
  <c r="J254" i="47"/>
  <c r="L254" i="47" s="1"/>
  <c r="J253" i="47"/>
  <c r="L253" i="47" s="1"/>
  <c r="J252" i="47"/>
  <c r="L252" i="47" s="1"/>
  <c r="J251" i="47"/>
  <c r="L251" i="47" s="1"/>
  <c r="J250" i="47"/>
  <c r="L250" i="47" s="1"/>
  <c r="J249" i="47"/>
  <c r="L249" i="47" s="1"/>
  <c r="J248" i="47"/>
  <c r="L248" i="47" s="1"/>
  <c r="J247" i="47"/>
  <c r="L247" i="47" s="1"/>
  <c r="J246" i="47"/>
  <c r="L246" i="47" s="1"/>
  <c r="J245" i="47"/>
  <c r="L245" i="47" s="1"/>
  <c r="J244" i="47"/>
  <c r="L244" i="47" s="1"/>
  <c r="J243" i="47"/>
  <c r="L243" i="47" s="1"/>
  <c r="J242" i="47"/>
  <c r="L242" i="47" s="1"/>
  <c r="J241" i="47"/>
  <c r="L241" i="47" s="1"/>
  <c r="A241" i="47"/>
  <c r="J240" i="47"/>
  <c r="J225" i="47"/>
  <c r="L225" i="47" s="1"/>
  <c r="J224" i="47"/>
  <c r="L224" i="47" s="1"/>
  <c r="J223" i="47"/>
  <c r="J222" i="47"/>
  <c r="L222" i="47" s="1"/>
  <c r="J221" i="47"/>
  <c r="L221" i="47" s="1"/>
  <c r="J220" i="47"/>
  <c r="L220" i="47" s="1"/>
  <c r="J219" i="47"/>
  <c r="L219" i="47" s="1"/>
  <c r="J218" i="47"/>
  <c r="L218" i="47" s="1"/>
  <c r="J217" i="47"/>
  <c r="L217" i="47" s="1"/>
  <c r="J216" i="47"/>
  <c r="L216" i="47" s="1"/>
  <c r="J215" i="47"/>
  <c r="L215" i="47" s="1"/>
  <c r="J214" i="47"/>
  <c r="L214" i="47" s="1"/>
  <c r="J213" i="47"/>
  <c r="L213" i="47" s="1"/>
  <c r="J212" i="47"/>
  <c r="L212" i="47" s="1"/>
  <c r="J211" i="47"/>
  <c r="L211" i="47" s="1"/>
  <c r="J210" i="47"/>
  <c r="L210" i="47" s="1"/>
  <c r="J209" i="47"/>
  <c r="L209" i="47" s="1"/>
  <c r="J208" i="47"/>
  <c r="L208" i="47" s="1"/>
  <c r="J207" i="47"/>
  <c r="L207" i="47" s="1"/>
  <c r="J206" i="47"/>
  <c r="L206" i="47" s="1"/>
  <c r="J205" i="47"/>
  <c r="L205" i="47" s="1"/>
  <c r="J204" i="47"/>
  <c r="L204" i="47" s="1"/>
  <c r="J203" i="47"/>
  <c r="L203" i="47" s="1"/>
  <c r="J202" i="47"/>
  <c r="L202" i="47" s="1"/>
  <c r="J201" i="47"/>
  <c r="L201" i="47" s="1"/>
  <c r="J200" i="47"/>
  <c r="L200" i="47" s="1"/>
  <c r="J199" i="47"/>
  <c r="L199" i="47" s="1"/>
  <c r="J198" i="47"/>
  <c r="L198" i="47" s="1"/>
  <c r="J197" i="47"/>
  <c r="L197" i="47" s="1"/>
  <c r="J196" i="47"/>
  <c r="L196" i="47" s="1"/>
  <c r="J195" i="47"/>
  <c r="L195" i="47" s="1"/>
  <c r="J194" i="47"/>
  <c r="L194" i="47" s="1"/>
  <c r="J193" i="47"/>
  <c r="L193" i="47" s="1"/>
  <c r="J192" i="47"/>
  <c r="L192" i="47" s="1"/>
  <c r="J191" i="47"/>
  <c r="L191" i="47" s="1"/>
  <c r="J190" i="47"/>
  <c r="L190" i="47" s="1"/>
  <c r="J188" i="47"/>
  <c r="L188" i="47" s="1"/>
  <c r="J187" i="47"/>
  <c r="L187" i="47" s="1"/>
  <c r="J186" i="47"/>
  <c r="L186" i="47" s="1"/>
  <c r="J185" i="47"/>
  <c r="L185" i="47" s="1"/>
  <c r="J184" i="47"/>
  <c r="L184" i="47" s="1"/>
  <c r="J183" i="47"/>
  <c r="L183" i="47" s="1"/>
  <c r="J182" i="47"/>
  <c r="L182" i="47" s="1"/>
  <c r="J181" i="47"/>
  <c r="L181" i="47" s="1"/>
  <c r="J180" i="47"/>
  <c r="L180" i="47" s="1"/>
  <c r="J179" i="47"/>
  <c r="L179" i="47" s="1"/>
  <c r="J178" i="47"/>
  <c r="L178" i="47" s="1"/>
  <c r="J177" i="47"/>
  <c r="L177" i="47" s="1"/>
  <c r="J176" i="47"/>
  <c r="L176" i="47" s="1"/>
  <c r="J175" i="47"/>
  <c r="L175" i="47" s="1"/>
  <c r="J174" i="47"/>
  <c r="L174" i="47" s="1"/>
  <c r="J173" i="47"/>
  <c r="L173" i="47" s="1"/>
  <c r="J172" i="47"/>
  <c r="L172" i="47" s="1"/>
  <c r="J171" i="47"/>
  <c r="L171" i="47" s="1"/>
  <c r="J170" i="47"/>
  <c r="L170" i="47" s="1"/>
  <c r="J169" i="47"/>
  <c r="L169" i="47" s="1"/>
  <c r="J168" i="47"/>
  <c r="L168" i="47" s="1"/>
  <c r="J167" i="47"/>
  <c r="L167" i="47" s="1"/>
  <c r="J166" i="47"/>
  <c r="L166" i="47" s="1"/>
  <c r="J165" i="47"/>
  <c r="L165" i="47" s="1"/>
  <c r="J164" i="47"/>
  <c r="L164" i="47" s="1"/>
  <c r="J163" i="47"/>
  <c r="L163" i="47" s="1"/>
  <c r="J162" i="47"/>
  <c r="L162" i="47" s="1"/>
  <c r="J161" i="47"/>
  <c r="L161" i="47" s="1"/>
  <c r="J160" i="47"/>
  <c r="L160" i="47" s="1"/>
  <c r="J159" i="47"/>
  <c r="L159" i="47" s="1"/>
  <c r="J158" i="47"/>
  <c r="L158" i="47" s="1"/>
  <c r="J157" i="47"/>
  <c r="L157" i="47" s="1"/>
  <c r="J156" i="47"/>
  <c r="L156" i="47" s="1"/>
  <c r="J155" i="47"/>
  <c r="L155" i="47" s="1"/>
  <c r="J154" i="47"/>
  <c r="L154" i="47" s="1"/>
  <c r="J153" i="47"/>
  <c r="L153" i="47" s="1"/>
  <c r="J152" i="47"/>
  <c r="L152" i="47" s="1"/>
  <c r="J151" i="47"/>
  <c r="L151" i="47" s="1"/>
  <c r="J150" i="47"/>
  <c r="L150" i="47" s="1"/>
  <c r="J149" i="47"/>
  <c r="L149" i="47" s="1"/>
  <c r="J148" i="47"/>
  <c r="L148" i="47" s="1"/>
  <c r="J147" i="47"/>
  <c r="L147" i="47" s="1"/>
  <c r="J146" i="47"/>
  <c r="L146" i="47" s="1"/>
  <c r="J145" i="47"/>
  <c r="L145" i="47" s="1"/>
  <c r="J144" i="47"/>
  <c r="L144" i="47" s="1"/>
  <c r="J143" i="47"/>
  <c r="L143" i="47" s="1"/>
  <c r="J142" i="47"/>
  <c r="L142" i="47" s="1"/>
  <c r="J141" i="47"/>
  <c r="L141" i="47" s="1"/>
  <c r="J140" i="47"/>
  <c r="L140" i="47" s="1"/>
  <c r="J139" i="47"/>
  <c r="L139" i="47" s="1"/>
  <c r="J138" i="47"/>
  <c r="L138" i="47" s="1"/>
  <c r="J137" i="47"/>
  <c r="L137" i="47" s="1"/>
  <c r="J136" i="47"/>
  <c r="L136" i="47" s="1"/>
  <c r="J135" i="47"/>
  <c r="L135" i="47" s="1"/>
  <c r="J134" i="47"/>
  <c r="L134" i="47" s="1"/>
  <c r="J133" i="47"/>
  <c r="L133" i="47" s="1"/>
  <c r="J132" i="47"/>
  <c r="L132" i="47" s="1"/>
  <c r="J131" i="47"/>
  <c r="L131" i="47" s="1"/>
  <c r="J130" i="47"/>
  <c r="J129" i="47"/>
  <c r="L129" i="47" s="1"/>
  <c r="J128" i="47"/>
  <c r="L128" i="47" s="1"/>
  <c r="J127" i="47"/>
  <c r="L127" i="47" s="1"/>
  <c r="J126" i="47"/>
  <c r="L126" i="47" s="1"/>
  <c r="J125" i="47"/>
  <c r="L125" i="47" s="1"/>
  <c r="J124" i="47"/>
  <c r="L124" i="47" s="1"/>
  <c r="J123" i="47"/>
  <c r="L123" i="47" s="1"/>
  <c r="J122" i="47"/>
  <c r="L122" i="47" s="1"/>
  <c r="J121" i="47"/>
  <c r="L121" i="47" s="1"/>
  <c r="J120" i="47"/>
  <c r="L120" i="47" s="1"/>
  <c r="J119" i="47"/>
  <c r="L119" i="47" s="1"/>
  <c r="J118" i="47"/>
  <c r="L118" i="47" s="1"/>
  <c r="J117" i="47"/>
  <c r="L117" i="47" s="1"/>
  <c r="J116" i="47"/>
  <c r="L116" i="47" s="1"/>
  <c r="J115" i="47"/>
  <c r="L115" i="47" s="1"/>
  <c r="J114" i="47"/>
  <c r="L114" i="47" s="1"/>
  <c r="J113" i="47"/>
  <c r="L113" i="47" s="1"/>
  <c r="J112" i="47"/>
  <c r="L112" i="47" s="1"/>
  <c r="J111" i="47"/>
  <c r="L111" i="47" s="1"/>
  <c r="J110" i="47"/>
  <c r="L110" i="47" s="1"/>
  <c r="J109" i="47"/>
  <c r="L109" i="47" s="1"/>
  <c r="J108" i="47"/>
  <c r="L108" i="47" s="1"/>
  <c r="J107" i="47"/>
  <c r="L107" i="47" s="1"/>
  <c r="J106" i="47"/>
  <c r="L106" i="47" s="1"/>
  <c r="J105" i="47"/>
  <c r="L105" i="47" s="1"/>
  <c r="J104" i="47"/>
  <c r="L104" i="47" s="1"/>
  <c r="J103" i="47"/>
  <c r="L103" i="47" s="1"/>
  <c r="J102" i="47"/>
  <c r="L102" i="47" s="1"/>
  <c r="J101" i="47"/>
  <c r="L101" i="47" s="1"/>
  <c r="J100" i="47"/>
  <c r="L100" i="47" s="1"/>
  <c r="J99" i="47"/>
  <c r="L99" i="47" s="1"/>
  <c r="J98" i="47"/>
  <c r="L98" i="47" s="1"/>
  <c r="J97" i="47"/>
  <c r="L97" i="47" s="1"/>
  <c r="J96" i="47"/>
  <c r="L96" i="47" s="1"/>
  <c r="J95" i="47"/>
  <c r="L95" i="47" s="1"/>
  <c r="J94" i="47"/>
  <c r="L94" i="47" s="1"/>
  <c r="J93" i="47"/>
  <c r="L93" i="47" s="1"/>
  <c r="J92" i="47"/>
  <c r="L92" i="47" s="1"/>
  <c r="J91" i="47"/>
  <c r="L91" i="47" s="1"/>
  <c r="J90" i="47"/>
  <c r="L90" i="47" s="1"/>
  <c r="J89" i="47"/>
  <c r="L89" i="47" s="1"/>
  <c r="J88" i="47"/>
  <c r="L88" i="47" s="1"/>
  <c r="J87" i="47"/>
  <c r="L87" i="47" s="1"/>
  <c r="J86" i="47"/>
  <c r="L86" i="47" s="1"/>
  <c r="J85" i="47"/>
  <c r="L85" i="47" s="1"/>
  <c r="J84" i="47"/>
  <c r="L84" i="47" s="1"/>
  <c r="J83" i="47"/>
  <c r="L83" i="47" s="1"/>
  <c r="J82" i="47"/>
  <c r="L82" i="47" s="1"/>
  <c r="J81" i="47"/>
  <c r="L81" i="47" s="1"/>
  <c r="J80" i="47"/>
  <c r="L80" i="47" s="1"/>
  <c r="J79" i="47"/>
  <c r="L79" i="47" s="1"/>
  <c r="J78" i="47"/>
  <c r="L78" i="47" s="1"/>
  <c r="J76" i="47"/>
  <c r="L76" i="47" s="1"/>
  <c r="J75" i="47"/>
  <c r="L75" i="47" s="1"/>
  <c r="J74" i="47"/>
  <c r="L74" i="47" s="1"/>
  <c r="J73" i="47"/>
  <c r="L73" i="47" s="1"/>
  <c r="J72" i="47"/>
  <c r="L72" i="47" s="1"/>
  <c r="J71" i="47"/>
  <c r="L71" i="47" s="1"/>
  <c r="J70" i="47"/>
  <c r="L70" i="47" s="1"/>
  <c r="J69" i="47"/>
  <c r="L69" i="47" s="1"/>
  <c r="J68" i="47"/>
  <c r="L68" i="47" s="1"/>
  <c r="J67" i="47"/>
  <c r="L67" i="47" s="1"/>
  <c r="J66" i="47"/>
  <c r="L66" i="47" s="1"/>
  <c r="J65" i="47"/>
  <c r="L65" i="47" s="1"/>
  <c r="J64" i="47"/>
  <c r="L64" i="47" s="1"/>
  <c r="J63" i="47"/>
  <c r="L63" i="47" s="1"/>
  <c r="J62" i="47"/>
  <c r="L62" i="47" s="1"/>
  <c r="J61" i="47"/>
  <c r="L61" i="47" s="1"/>
  <c r="J60" i="47"/>
  <c r="L60" i="47" s="1"/>
  <c r="J59" i="47"/>
  <c r="L59" i="47" s="1"/>
  <c r="J58" i="47"/>
  <c r="L58" i="47" s="1"/>
  <c r="J57" i="47"/>
  <c r="L57" i="47" s="1"/>
  <c r="J56" i="47"/>
  <c r="L56" i="47" s="1"/>
  <c r="J55" i="47"/>
  <c r="L55" i="47" s="1"/>
  <c r="J54" i="47"/>
  <c r="L54" i="47" s="1"/>
  <c r="J53" i="47"/>
  <c r="L53" i="47" s="1"/>
  <c r="J52" i="47"/>
  <c r="L52" i="47" s="1"/>
  <c r="J51" i="47"/>
  <c r="L51" i="47" s="1"/>
  <c r="J50" i="47"/>
  <c r="L50" i="47" s="1"/>
  <c r="J49" i="47"/>
  <c r="L49" i="47" s="1"/>
  <c r="J48" i="47"/>
  <c r="L48" i="47" s="1"/>
  <c r="J47" i="47"/>
  <c r="L47" i="47" s="1"/>
  <c r="J46" i="47"/>
  <c r="L46" i="47" s="1"/>
  <c r="J45" i="47"/>
  <c r="L45" i="47" s="1"/>
  <c r="J44" i="47"/>
  <c r="L44" i="47" s="1"/>
  <c r="J43" i="47"/>
  <c r="L43" i="47" s="1"/>
  <c r="J42" i="47"/>
  <c r="L42" i="47" s="1"/>
  <c r="J41" i="47"/>
  <c r="L41" i="47" s="1"/>
  <c r="J40" i="47"/>
  <c r="L40" i="47" s="1"/>
  <c r="J39" i="47"/>
  <c r="L39" i="47" s="1"/>
  <c r="J38" i="47"/>
  <c r="L38" i="47" s="1"/>
  <c r="J37" i="47"/>
  <c r="L37" i="47" s="1"/>
  <c r="J36" i="47"/>
  <c r="L36" i="47" s="1"/>
  <c r="J35" i="47"/>
  <c r="L35" i="47" s="1"/>
  <c r="J34" i="47"/>
  <c r="L34" i="47" s="1"/>
  <c r="J33" i="47"/>
  <c r="L33" i="47" s="1"/>
  <c r="J32" i="47"/>
  <c r="L32" i="47" s="1"/>
  <c r="J31" i="47"/>
  <c r="L31" i="47" s="1"/>
  <c r="J30" i="47"/>
  <c r="L30" i="47" s="1"/>
  <c r="J29" i="47"/>
  <c r="L29" i="47" s="1"/>
  <c r="J28" i="47"/>
  <c r="L28" i="47" s="1"/>
  <c r="J27" i="47"/>
  <c r="L27" i="47" s="1"/>
  <c r="J26" i="47"/>
  <c r="L26" i="47" s="1"/>
  <c r="J25" i="47"/>
  <c r="L25" i="47" s="1"/>
  <c r="J24" i="47"/>
  <c r="L24" i="47" s="1"/>
  <c r="J23" i="47"/>
  <c r="L23" i="47" s="1"/>
  <c r="J22" i="47"/>
  <c r="L22" i="47" s="1"/>
  <c r="J21" i="47"/>
  <c r="L21" i="47" s="1"/>
  <c r="J20" i="47"/>
  <c r="L20" i="47" s="1"/>
  <c r="J18" i="47"/>
  <c r="L18" i="47" s="1"/>
  <c r="J17" i="47"/>
  <c r="L17" i="47" s="1"/>
  <c r="J16" i="47"/>
  <c r="L16" i="47" s="1"/>
  <c r="J15" i="47"/>
  <c r="L15" i="47" s="1"/>
  <c r="J14" i="47"/>
  <c r="L14" i="47" s="1"/>
  <c r="J13" i="47"/>
  <c r="L13" i="47" s="1"/>
  <c r="J12" i="47"/>
  <c r="L12" i="47" s="1"/>
  <c r="J11" i="47"/>
  <c r="L11" i="47" s="1"/>
  <c r="J10" i="47"/>
  <c r="L10" i="47" s="1"/>
  <c r="J9" i="47"/>
  <c r="L9" i="47" s="1"/>
  <c r="J8" i="47"/>
  <c r="L8" i="47" s="1"/>
  <c r="J7" i="47"/>
  <c r="A127" i="53" l="1"/>
  <c r="A128" i="53" s="1"/>
  <c r="A129" i="53" s="1"/>
  <c r="A130" i="53" s="1"/>
  <c r="A131" i="53" s="1"/>
  <c r="A132" i="53" s="1"/>
  <c r="A133" i="53" s="1"/>
  <c r="A134" i="53" s="1"/>
  <c r="A135" i="53" s="1"/>
  <c r="A136" i="53" s="1"/>
  <c r="A137" i="53" s="1"/>
  <c r="A138" i="53" s="1"/>
  <c r="A139" i="53" s="1"/>
  <c r="A140" i="53" s="1"/>
  <c r="A141" i="53" s="1"/>
  <c r="A142" i="53" s="1"/>
  <c r="A143" i="53" s="1"/>
  <c r="A144" i="53" s="1"/>
  <c r="A145" i="53" s="1"/>
  <c r="A146" i="53" s="1"/>
  <c r="A147" i="53" s="1"/>
  <c r="A148" i="53" s="1"/>
  <c r="A149" i="53" s="1"/>
  <c r="A150" i="53" s="1"/>
  <c r="A151" i="53" s="1"/>
  <c r="A152" i="53" s="1"/>
  <c r="A153" i="53" s="1"/>
  <c r="A154" i="53" s="1"/>
  <c r="A155" i="53" s="1"/>
  <c r="A156" i="53" s="1"/>
  <c r="A157" i="53" s="1"/>
  <c r="A158" i="53" s="1"/>
  <c r="A159" i="53" s="1"/>
  <c r="A160" i="53" s="1"/>
  <c r="A161" i="53" s="1"/>
  <c r="A162" i="53" s="1"/>
  <c r="A163" i="53" s="1"/>
  <c r="A164" i="53" s="1"/>
  <c r="A165" i="53" s="1"/>
  <c r="A166" i="53" s="1"/>
  <c r="A167" i="53" s="1"/>
  <c r="A168" i="53" s="1"/>
  <c r="A169" i="53" s="1"/>
  <c r="A170" i="53" s="1"/>
  <c r="A171" i="53" s="1"/>
  <c r="A172" i="53" s="1"/>
  <c r="A173" i="53" s="1"/>
  <c r="A174" i="53" s="1"/>
  <c r="A175" i="53" s="1"/>
  <c r="A176" i="53" s="1"/>
  <c r="A177" i="53" s="1"/>
  <c r="A178" i="53" s="1"/>
  <c r="A179" i="53" s="1"/>
  <c r="A180" i="53" s="1"/>
  <c r="A181" i="53" s="1"/>
  <c r="A182" i="53" s="1"/>
  <c r="A183" i="53" s="1"/>
  <c r="A184" i="53" s="1"/>
  <c r="A185" i="53" s="1"/>
  <c r="A186" i="53" s="1"/>
  <c r="A187" i="53" s="1"/>
  <c r="A188" i="53" s="1"/>
  <c r="A189" i="53" s="1"/>
  <c r="A190" i="53" s="1"/>
  <c r="A191" i="53" s="1"/>
  <c r="A192" i="53" s="1"/>
  <c r="A193" i="53" s="1"/>
  <c r="A194" i="53" s="1"/>
  <c r="A195" i="53" s="1"/>
  <c r="A196" i="53" s="1"/>
  <c r="A197" i="53" s="1"/>
  <c r="A198" i="53" s="1"/>
  <c r="A199" i="53" s="1"/>
  <c r="A200" i="53" s="1"/>
  <c r="A201" i="53" s="1"/>
  <c r="J317" i="50"/>
  <c r="L317" i="50"/>
  <c r="G305" i="47"/>
  <c r="H305" i="47"/>
  <c r="F305" i="47"/>
  <c r="K305" i="47"/>
  <c r="L223" i="47"/>
  <c r="I237" i="47"/>
  <c r="I305" i="47" s="1"/>
  <c r="L130" i="47"/>
  <c r="J237" i="47"/>
  <c r="L7" i="47"/>
  <c r="J292" i="47"/>
  <c r="L240" i="47"/>
  <c r="L292" i="47" s="1"/>
  <c r="A202" i="53" l="1"/>
  <c r="A203" i="53" s="1"/>
  <c r="A204" i="53" s="1"/>
  <c r="A205" i="53" s="1"/>
  <c r="A206" i="53" s="1"/>
  <c r="A207" i="53" s="1"/>
  <c r="A208" i="53" s="1"/>
  <c r="A209" i="53" s="1"/>
  <c r="A210" i="53" s="1"/>
  <c r="A211" i="53" s="1"/>
  <c r="A212" i="53" s="1"/>
  <c r="A213" i="53" s="1"/>
  <c r="A214" i="53" s="1"/>
  <c r="A215" i="53" s="1"/>
  <c r="A216" i="53" s="1"/>
  <c r="A217" i="53" s="1"/>
  <c r="A218" i="53" s="1"/>
  <c r="A219" i="53" s="1"/>
  <c r="A220" i="53" s="1"/>
  <c r="A221" i="53" s="1"/>
  <c r="A222" i="53" s="1"/>
  <c r="A223" i="53" s="1"/>
  <c r="A224" i="53" s="1"/>
  <c r="A225" i="53" s="1"/>
  <c r="A226" i="53" s="1"/>
  <c r="A227" i="53" s="1"/>
  <c r="A228" i="53" s="1"/>
  <c r="A229" i="53" s="1"/>
  <c r="A230" i="53" s="1"/>
  <c r="A231" i="53" s="1"/>
  <c r="A232" i="53" s="1"/>
  <c r="A233" i="53" s="1"/>
  <c r="A234" i="53" s="1"/>
  <c r="A235" i="53" s="1"/>
  <c r="A236" i="53" s="1"/>
  <c r="A237" i="53" s="1"/>
  <c r="A238" i="53" s="1"/>
  <c r="L237" i="47"/>
  <c r="L305" i="47" s="1"/>
  <c r="J305" i="47"/>
  <c r="A239" i="53" l="1"/>
  <c r="A240" i="53" s="1"/>
  <c r="A241" i="53" s="1"/>
  <c r="A242" i="53" s="1"/>
  <c r="A243" i="53" s="1"/>
  <c r="A244" i="53" s="1"/>
  <c r="A245" i="53" s="1"/>
  <c r="A246" i="53" s="1"/>
  <c r="A247" i="53" s="1"/>
  <c r="A248" i="53" s="1"/>
  <c r="A249" i="53" s="1"/>
  <c r="A250" i="53" s="1"/>
  <c r="A251" i="53" s="1"/>
  <c r="A252" i="53" s="1"/>
  <c r="J167" i="39"/>
  <c r="J168" i="39"/>
  <c r="J169" i="39"/>
  <c r="J170" i="39"/>
  <c r="J171" i="39"/>
  <c r="J172" i="39"/>
  <c r="J173" i="39"/>
  <c r="J174" i="39"/>
  <c r="J175" i="39"/>
  <c r="J176" i="39"/>
  <c r="J177" i="39"/>
  <c r="J178" i="39"/>
  <c r="J179" i="39"/>
  <c r="J180" i="39"/>
  <c r="J181" i="39"/>
  <c r="J182" i="39"/>
  <c r="J134" i="39"/>
  <c r="J135" i="39"/>
  <c r="J136" i="39"/>
  <c r="J137" i="39"/>
  <c r="J138" i="39"/>
  <c r="J139" i="39"/>
  <c r="J140" i="39"/>
  <c r="J141" i="39"/>
  <c r="J142" i="39"/>
  <c r="J143" i="39"/>
  <c r="J144" i="39"/>
  <c r="J145" i="39"/>
  <c r="J146" i="39"/>
  <c r="J147" i="39"/>
  <c r="J148" i="39"/>
  <c r="J149" i="39"/>
  <c r="J150" i="39"/>
  <c r="J151" i="39"/>
  <c r="J152" i="39"/>
  <c r="J153" i="39"/>
  <c r="J127" i="39"/>
  <c r="J128" i="39"/>
  <c r="J129" i="39"/>
  <c r="J130" i="39"/>
  <c r="J131" i="39"/>
  <c r="J132" i="39"/>
  <c r="J133" i="39"/>
  <c r="J95" i="39" l="1"/>
  <c r="J96" i="39"/>
  <c r="J97" i="39"/>
  <c r="J98" i="39"/>
  <c r="J99" i="39"/>
  <c r="J100" i="39"/>
  <c r="B9" i="39"/>
  <c r="B10" i="39"/>
  <c r="B11" i="39" s="1"/>
  <c r="B12" i="39" s="1"/>
  <c r="B13" i="39" s="1"/>
  <c r="B14" i="39" s="1"/>
  <c r="B15" i="39" s="1"/>
  <c r="B16" i="39" s="1"/>
  <c r="B17" i="39" s="1"/>
  <c r="B18" i="39" s="1"/>
  <c r="B19" i="39" s="1"/>
  <c r="B20" i="39" s="1"/>
  <c r="B21" i="39" s="1"/>
  <c r="B22" i="39" s="1"/>
  <c r="B23" i="39" s="1"/>
  <c r="B24" i="39" s="1"/>
  <c r="B25" i="39" s="1"/>
  <c r="B26" i="39" s="1"/>
  <c r="B27" i="39" s="1"/>
  <c r="B28" i="39" s="1"/>
  <c r="B29" i="39" s="1"/>
  <c r="B30" i="39" s="1"/>
  <c r="B31" i="39" s="1"/>
  <c r="B32" i="39" s="1"/>
  <c r="B33" i="39" s="1"/>
  <c r="B34" i="39" s="1"/>
  <c r="B35" i="39" s="1"/>
  <c r="B36" i="39" s="1"/>
  <c r="B37" i="39" s="1"/>
  <c r="B38" i="39" s="1"/>
  <c r="B39" i="39" s="1"/>
  <c r="B40" i="39" s="1"/>
  <c r="B41" i="39" s="1"/>
  <c r="B42" i="39" s="1"/>
  <c r="B43" i="39" s="1"/>
  <c r="B44" i="39" s="1"/>
  <c r="B45" i="39" s="1"/>
  <c r="B46" i="39" s="1"/>
  <c r="B47" i="39" s="1"/>
  <c r="B48" i="39" s="1"/>
  <c r="B49" i="39" s="1"/>
  <c r="B50" i="39" s="1"/>
  <c r="B51" i="39" s="1"/>
  <c r="B52" i="39" s="1"/>
  <c r="B53" i="39" s="1"/>
  <c r="B54" i="39" s="1"/>
  <c r="B55" i="39" s="1"/>
  <c r="B56" i="39" s="1"/>
  <c r="B57" i="39" s="1"/>
  <c r="B58" i="39" s="1"/>
  <c r="B59" i="39" s="1"/>
  <c r="B60" i="39" s="1"/>
  <c r="B61" i="39" s="1"/>
  <c r="B62" i="39" s="1"/>
  <c r="B63" i="39" s="1"/>
  <c r="B64" i="39" s="1"/>
  <c r="B65" i="39" s="1"/>
  <c r="B66" i="39" s="1"/>
  <c r="B67" i="39" s="1"/>
  <c r="B68" i="39" s="1"/>
  <c r="B69" i="39" s="1"/>
  <c r="B70" i="39" s="1"/>
  <c r="B71" i="39" s="1"/>
  <c r="B72" i="39" s="1"/>
  <c r="B73" i="39" s="1"/>
  <c r="B74" i="39" s="1"/>
  <c r="B75" i="39" s="1"/>
  <c r="B76" i="39" s="1"/>
  <c r="B77" i="39" s="1"/>
  <c r="B78" i="39" s="1"/>
  <c r="B79" i="39" s="1"/>
  <c r="B80" i="39" s="1"/>
  <c r="B81" i="39" s="1"/>
  <c r="B82" i="39" s="1"/>
  <c r="B83" i="39" s="1"/>
  <c r="B84" i="39" s="1"/>
  <c r="B85" i="39" s="1"/>
  <c r="B86" i="39" s="1"/>
  <c r="B87" i="39" s="1"/>
  <c r="B88" i="39" s="1"/>
  <c r="B89" i="39" s="1"/>
  <c r="B90" i="39" s="1"/>
  <c r="B91" i="39" s="1"/>
  <c r="B92" i="39" s="1"/>
  <c r="B93" i="39" s="1"/>
  <c r="B94" i="39" s="1"/>
  <c r="B95" i="39" s="1"/>
  <c r="B96" i="39" s="1"/>
  <c r="B97" i="39" s="1"/>
  <c r="B98" i="39" s="1"/>
  <c r="B99" i="39" s="1"/>
  <c r="B100" i="39" s="1"/>
  <c r="B101" i="39" s="1"/>
  <c r="B102" i="39" s="1"/>
  <c r="B103" i="39" s="1"/>
  <c r="B104" i="39" s="1"/>
  <c r="B105" i="39" s="1"/>
  <c r="B106" i="39" s="1"/>
  <c r="B107" i="39" s="1"/>
  <c r="B108" i="39" s="1"/>
  <c r="B109" i="39" s="1"/>
  <c r="B110" i="39" s="1"/>
  <c r="B111" i="39" s="1"/>
  <c r="B112" i="39" s="1"/>
  <c r="B113" i="39" s="1"/>
  <c r="B114" i="39" s="1"/>
  <c r="B115" i="39" s="1"/>
  <c r="B116" i="39" s="1"/>
  <c r="B117" i="39" s="1"/>
  <c r="B118" i="39" s="1"/>
  <c r="B119" i="39" s="1"/>
  <c r="B120" i="39" s="1"/>
  <c r="B121" i="39" s="1"/>
  <c r="B122" i="39" s="1"/>
  <c r="B123" i="39" s="1"/>
  <c r="B124" i="39" s="1"/>
  <c r="B125" i="39" s="1"/>
  <c r="B126" i="39" s="1"/>
  <c r="B127" i="39" s="1"/>
  <c r="B128" i="39" s="1"/>
  <c r="B129" i="39" s="1"/>
  <c r="B130" i="39" s="1"/>
  <c r="B131" i="39" s="1"/>
  <c r="B132" i="39" s="1"/>
  <c r="B133" i="39" s="1"/>
  <c r="B134" i="39" s="1"/>
  <c r="B135" i="39" s="1"/>
  <c r="B136" i="39" s="1"/>
  <c r="B137" i="39" s="1"/>
  <c r="B138" i="39" s="1"/>
  <c r="B139" i="39" s="1"/>
  <c r="B140" i="39" s="1"/>
  <c r="B141" i="39" s="1"/>
  <c r="B142" i="39" s="1"/>
  <c r="B143" i="39" s="1"/>
  <c r="B144" i="39" s="1"/>
  <c r="B145" i="39" s="1"/>
  <c r="B146" i="39" s="1"/>
  <c r="B147" i="39" s="1"/>
  <c r="B148" i="39" s="1"/>
  <c r="B149" i="39" s="1"/>
  <c r="B150" i="39" s="1"/>
  <c r="B151" i="39" s="1"/>
  <c r="B152" i="39" s="1"/>
  <c r="B153" i="39" s="1"/>
  <c r="B154" i="39" s="1"/>
  <c r="B155" i="39" s="1"/>
  <c r="B156" i="39" s="1"/>
  <c r="B157" i="39" s="1"/>
  <c r="B158" i="39" s="1"/>
  <c r="B159" i="39" s="1"/>
  <c r="B160" i="39" s="1"/>
  <c r="B161" i="39" s="1"/>
  <c r="B162" i="39" s="1"/>
  <c r="B163" i="39" s="1"/>
  <c r="B164" i="39" s="1"/>
  <c r="B165" i="39" s="1"/>
  <c r="B166" i="39" s="1"/>
  <c r="B167" i="39" s="1"/>
  <c r="B168" i="39" s="1"/>
  <c r="B169" i="39" s="1"/>
  <c r="B170" i="39" s="1"/>
  <c r="B171" i="39" s="1"/>
  <c r="B172" i="39" s="1"/>
  <c r="B173" i="39" s="1"/>
  <c r="B174" i="39" s="1"/>
  <c r="B175" i="39" s="1"/>
  <c r="B176" i="39" s="1"/>
  <c r="B177" i="39" s="1"/>
  <c r="B178" i="39" s="1"/>
  <c r="B179" i="39" s="1"/>
  <c r="B180" i="39" s="1"/>
  <c r="B181" i="39" s="1"/>
  <c r="B182" i="39" s="1"/>
  <c r="B183" i="39" s="1"/>
  <c r="B184" i="39" s="1"/>
  <c r="B185" i="39" s="1"/>
  <c r="B186" i="39" s="1"/>
  <c r="B187" i="39" s="1"/>
  <c r="B188" i="39" s="1"/>
  <c r="B189" i="39" s="1"/>
  <c r="B190" i="39" s="1"/>
  <c r="B191" i="39" s="1"/>
  <c r="B197" i="39"/>
  <c r="B198" i="39"/>
  <c r="B199" i="39" s="1"/>
  <c r="B200" i="39" s="1"/>
  <c r="B201" i="39" s="1"/>
  <c r="B202" i="39" s="1"/>
  <c r="B203" i="39" s="1"/>
  <c r="B204" i="39" s="1"/>
  <c r="B205" i="39" s="1"/>
  <c r="B206" i="39" s="1"/>
  <c r="B207" i="39" s="1"/>
  <c r="B208" i="39" s="1"/>
  <c r="B209" i="39" s="1"/>
  <c r="B210" i="39" s="1"/>
  <c r="B211" i="39" s="1"/>
  <c r="B212" i="39" s="1"/>
  <c r="B213" i="39" s="1"/>
  <c r="B214" i="39" s="1"/>
  <c r="B215" i="39" s="1"/>
  <c r="B216" i="39" s="1"/>
  <c r="B217" i="39" s="1"/>
  <c r="B218" i="39" s="1"/>
  <c r="B219" i="39" s="1"/>
  <c r="B220" i="39" s="1"/>
  <c r="B221" i="39" s="1"/>
  <c r="B222" i="39" s="1"/>
  <c r="B223" i="39" s="1"/>
  <c r="B224" i="39" s="1"/>
  <c r="B225" i="39" s="1"/>
  <c r="B226" i="39" s="1"/>
  <c r="B227" i="39" s="1"/>
  <c r="B228" i="39" s="1"/>
  <c r="B229" i="39" s="1"/>
  <c r="B230" i="39" s="1"/>
  <c r="B231" i="39" s="1"/>
  <c r="B232" i="39" s="1"/>
  <c r="B233" i="39" s="1"/>
  <c r="B234" i="39" s="1"/>
  <c r="B235" i="39" s="1"/>
  <c r="B236" i="39" s="1"/>
  <c r="B237" i="39" s="1"/>
  <c r="B238" i="39" s="1"/>
  <c r="B239" i="39" s="1"/>
  <c r="B240" i="39" s="1"/>
  <c r="B241" i="39" s="1"/>
  <c r="B242" i="39" s="1"/>
  <c r="B243" i="39" s="1"/>
  <c r="B244" i="39" s="1"/>
  <c r="B245" i="39" s="1"/>
  <c r="B246" i="39" s="1"/>
  <c r="B247" i="39" s="1"/>
  <c r="B248" i="39" s="1"/>
  <c r="B249" i="39" s="1"/>
  <c r="B250" i="39" s="1"/>
  <c r="B251" i="39" s="1"/>
  <c r="B252" i="39" s="1"/>
  <c r="B253" i="39" s="1"/>
  <c r="B254" i="39" s="1"/>
  <c r="B255" i="39" s="1"/>
  <c r="B256" i="39" s="1"/>
  <c r="B257" i="39" s="1"/>
  <c r="B258" i="39" s="1"/>
  <c r="B259" i="39" s="1"/>
  <c r="B260" i="39" s="1"/>
  <c r="B261" i="39" s="1"/>
  <c r="B262" i="39" s="1"/>
  <c r="B263" i="39" s="1"/>
  <c r="B264" i="39" s="1"/>
  <c r="B265" i="39" s="1"/>
  <c r="B266" i="39" s="1"/>
  <c r="B267" i="39" s="1"/>
  <c r="B268" i="39" s="1"/>
  <c r="B269" i="39" s="1"/>
  <c r="B270" i="39" s="1"/>
  <c r="B271" i="39" s="1"/>
  <c r="B276" i="39"/>
  <c r="B277" i="39" s="1"/>
  <c r="B278" i="39" s="1"/>
  <c r="B279" i="39" s="1"/>
  <c r="B280" i="39" s="1"/>
  <c r="B281" i="39" s="1"/>
  <c r="B282" i="39" s="1"/>
  <c r="B283" i="39" s="1"/>
  <c r="J283" i="39"/>
  <c r="H272" i="39"/>
  <c r="I272" i="39"/>
  <c r="K272" i="39"/>
  <c r="G272" i="39"/>
  <c r="F272" i="39"/>
  <c r="H192" i="39"/>
  <c r="I192" i="39"/>
  <c r="K192" i="39"/>
  <c r="G192" i="39"/>
  <c r="F192" i="39"/>
  <c r="J159" i="39"/>
  <c r="F286" i="39" l="1"/>
  <c r="K286" i="39"/>
  <c r="J54" i="39"/>
  <c r="L54" i="39" s="1"/>
  <c r="J52" i="39"/>
  <c r="L52" i="39" s="1"/>
  <c r="J53" i="39"/>
  <c r="L53" i="39" s="1"/>
  <c r="J55" i="39"/>
  <c r="L55" i="39" s="1"/>
  <c r="J56" i="39"/>
  <c r="J58" i="39"/>
  <c r="L58" i="39" s="1"/>
  <c r="J59" i="39"/>
  <c r="L59" i="39" s="1"/>
  <c r="J200" i="39"/>
  <c r="L200" i="39" s="1"/>
  <c r="J218" i="39"/>
  <c r="L218" i="39" s="1"/>
  <c r="B8" i="39"/>
  <c r="J22" i="39"/>
  <c r="L22" i="39" s="1"/>
  <c r="XDQ22" i="39" s="1"/>
  <c r="L283" i="39"/>
  <c r="J282" i="39"/>
  <c r="L282" i="39" s="1"/>
  <c r="J281" i="39"/>
  <c r="L281" i="39" s="1"/>
  <c r="J280" i="39"/>
  <c r="L280" i="39" s="1"/>
  <c r="J279" i="39"/>
  <c r="L279" i="39" s="1"/>
  <c r="J278" i="39"/>
  <c r="L278" i="39" s="1"/>
  <c r="J277" i="39"/>
  <c r="L277" i="39" s="1"/>
  <c r="J276" i="39"/>
  <c r="L276" i="39" s="1"/>
  <c r="J275" i="39"/>
  <c r="L275" i="39" s="1"/>
  <c r="B275" i="39"/>
  <c r="J274" i="39"/>
  <c r="L274" i="39" s="1"/>
  <c r="J271" i="39"/>
  <c r="L271" i="39" s="1"/>
  <c r="J221" i="39"/>
  <c r="L221" i="39" s="1"/>
  <c r="J224" i="39"/>
  <c r="L224" i="39" s="1"/>
  <c r="J270" i="39"/>
  <c r="L270" i="39" s="1"/>
  <c r="J269" i="39"/>
  <c r="L269" i="39" s="1"/>
  <c r="J268" i="39"/>
  <c r="L268" i="39" s="1"/>
  <c r="J267" i="39"/>
  <c r="L267" i="39" s="1"/>
  <c r="J266" i="39"/>
  <c r="L266" i="39" s="1"/>
  <c r="J265" i="39"/>
  <c r="L265" i="39" s="1"/>
  <c r="J70" i="39"/>
  <c r="L70" i="39" s="1"/>
  <c r="J264" i="39"/>
  <c r="L264" i="39" s="1"/>
  <c r="J263" i="39"/>
  <c r="L263" i="39" s="1"/>
  <c r="J262" i="39"/>
  <c r="L262" i="39" s="1"/>
  <c r="J261" i="39"/>
  <c r="L261" i="39" s="1"/>
  <c r="J260" i="39"/>
  <c r="L260" i="39" s="1"/>
  <c r="J259" i="39"/>
  <c r="L259" i="39" s="1"/>
  <c r="J197" i="39"/>
  <c r="L197" i="39" s="1"/>
  <c r="J258" i="39"/>
  <c r="L258" i="39" s="1"/>
  <c r="J257" i="39"/>
  <c r="L257" i="39" s="1"/>
  <c r="J256" i="39"/>
  <c r="L256" i="39" s="1"/>
  <c r="J255" i="39"/>
  <c r="L255" i="39" s="1"/>
  <c r="L95" i="39"/>
  <c r="J254" i="39"/>
  <c r="L254" i="39" s="1"/>
  <c r="J253" i="39"/>
  <c r="L253" i="39" s="1"/>
  <c r="J252" i="39"/>
  <c r="L252" i="39" s="1"/>
  <c r="J251" i="39"/>
  <c r="L251" i="39" s="1"/>
  <c r="J250" i="39"/>
  <c r="L250" i="39" s="1"/>
  <c r="J249" i="39"/>
  <c r="L249" i="39" s="1"/>
  <c r="J248" i="39"/>
  <c r="L248" i="39" s="1"/>
  <c r="J247" i="39"/>
  <c r="L247" i="39" s="1"/>
  <c r="J246" i="39"/>
  <c r="L246" i="39" s="1"/>
  <c r="J245" i="39"/>
  <c r="L245" i="39" s="1"/>
  <c r="J244" i="39"/>
  <c r="L244" i="39" s="1"/>
  <c r="J77" i="39"/>
  <c r="L77" i="39" s="1"/>
  <c r="J81" i="39"/>
  <c r="L81" i="39" s="1"/>
  <c r="J243" i="39"/>
  <c r="L243" i="39" s="1"/>
  <c r="J242" i="39"/>
  <c r="L242" i="39" s="1"/>
  <c r="J241" i="39"/>
  <c r="L241" i="39" s="1"/>
  <c r="J240" i="39"/>
  <c r="L240" i="39" s="1"/>
  <c r="J239" i="39"/>
  <c r="L239" i="39" s="1"/>
  <c r="J238" i="39"/>
  <c r="L238" i="39" s="1"/>
  <c r="J237" i="39"/>
  <c r="L237" i="39" s="1"/>
  <c r="J236" i="39"/>
  <c r="L236" i="39" s="1"/>
  <c r="J235" i="39"/>
  <c r="L235" i="39" s="1"/>
  <c r="J225" i="39"/>
  <c r="L225" i="39" s="1"/>
  <c r="J234" i="39"/>
  <c r="L234" i="39" s="1"/>
  <c r="J233" i="39"/>
  <c r="L233" i="39" s="1"/>
  <c r="J232" i="39"/>
  <c r="L232" i="39" s="1"/>
  <c r="J231" i="39"/>
  <c r="L231" i="39" s="1"/>
  <c r="J222" i="39"/>
  <c r="L222" i="39" s="1"/>
  <c r="J220" i="39"/>
  <c r="L220" i="39" s="1"/>
  <c r="J230" i="39"/>
  <c r="L230" i="39" s="1"/>
  <c r="J229" i="39"/>
  <c r="L229" i="39" s="1"/>
  <c r="J228" i="39"/>
  <c r="L228" i="39" s="1"/>
  <c r="J227" i="39"/>
  <c r="L227" i="39" s="1"/>
  <c r="J226" i="39"/>
  <c r="L226" i="39" s="1"/>
  <c r="J223" i="39"/>
  <c r="L223" i="39" s="1"/>
  <c r="J219" i="39"/>
  <c r="L219" i="39" s="1"/>
  <c r="J211" i="39"/>
  <c r="L211" i="39" s="1"/>
  <c r="J196" i="39"/>
  <c r="L196" i="39" s="1"/>
  <c r="J195" i="39"/>
  <c r="J214" i="39"/>
  <c r="L214" i="39" s="1"/>
  <c r="J215" i="39"/>
  <c r="L215" i="39" s="1"/>
  <c r="J213" i="39"/>
  <c r="L213" i="39" s="1"/>
  <c r="J212" i="39"/>
  <c r="L212" i="39" s="1"/>
  <c r="J210" i="39"/>
  <c r="L210" i="39" s="1"/>
  <c r="J209" i="39"/>
  <c r="L209" i="39" s="1"/>
  <c r="J208" i="39"/>
  <c r="L208" i="39" s="1"/>
  <c r="J207" i="39"/>
  <c r="L207" i="39" s="1"/>
  <c r="J206" i="39"/>
  <c r="L206" i="39" s="1"/>
  <c r="J205" i="39"/>
  <c r="L205" i="39" s="1"/>
  <c r="J204" i="39"/>
  <c r="L204" i="39" s="1"/>
  <c r="J203" i="39"/>
  <c r="L203" i="39" s="1"/>
  <c r="J216" i="39"/>
  <c r="L216" i="39" s="1"/>
  <c r="J202" i="39"/>
  <c r="L202" i="39" s="1"/>
  <c r="J198" i="39"/>
  <c r="L198" i="39" s="1"/>
  <c r="J217" i="39"/>
  <c r="L217" i="39" s="1"/>
  <c r="J201" i="39"/>
  <c r="L201" i="39" s="1"/>
  <c r="J199" i="39"/>
  <c r="L199" i="39" s="1"/>
  <c r="B196" i="39"/>
  <c r="L140" i="39"/>
  <c r="L139" i="39"/>
  <c r="L97" i="39"/>
  <c r="L138" i="39"/>
  <c r="L137" i="39"/>
  <c r="L136" i="39"/>
  <c r="L135" i="39"/>
  <c r="J72" i="39"/>
  <c r="L72" i="39" s="1"/>
  <c r="J71" i="39"/>
  <c r="L71" i="39" s="1"/>
  <c r="J79" i="39"/>
  <c r="L79" i="39" s="1"/>
  <c r="J78" i="39"/>
  <c r="L78" i="39" s="1"/>
  <c r="J73" i="39"/>
  <c r="L73" i="39" s="1"/>
  <c r="J80" i="39"/>
  <c r="L80" i="39" s="1"/>
  <c r="J110" i="39"/>
  <c r="L110" i="39" s="1"/>
  <c r="J76" i="39"/>
  <c r="L76" i="39" s="1"/>
  <c r="J75" i="39"/>
  <c r="L75" i="39" s="1"/>
  <c r="J74" i="39"/>
  <c r="L74" i="39" s="1"/>
  <c r="J35" i="39"/>
  <c r="L35" i="39" s="1"/>
  <c r="L134" i="39"/>
  <c r="L96" i="39"/>
  <c r="J48" i="39"/>
  <c r="L48" i="39" s="1"/>
  <c r="J109" i="39"/>
  <c r="L109" i="39" s="1"/>
  <c r="L175" i="39"/>
  <c r="J32" i="39"/>
  <c r="L32" i="39" s="1"/>
  <c r="J163" i="39"/>
  <c r="L163" i="39" s="1"/>
  <c r="J69" i="39"/>
  <c r="L69" i="39" s="1"/>
  <c r="J47" i="39"/>
  <c r="L47" i="39" s="1"/>
  <c r="L133" i="39"/>
  <c r="J188" i="39"/>
  <c r="L188" i="39" s="1"/>
  <c r="L132" i="39"/>
  <c r="L131" i="39"/>
  <c r="J68" i="39"/>
  <c r="L68" i="39" s="1"/>
  <c r="J108" i="39"/>
  <c r="L108" i="39" s="1"/>
  <c r="L130" i="39"/>
  <c r="J107" i="39"/>
  <c r="L107" i="39" s="1"/>
  <c r="J67" i="39"/>
  <c r="L67" i="39" s="1"/>
  <c r="J66" i="39"/>
  <c r="L66" i="39" s="1"/>
  <c r="J189" i="39"/>
  <c r="L189" i="39" s="1"/>
  <c r="J187" i="39"/>
  <c r="L187" i="39" s="1"/>
  <c r="J65" i="39"/>
  <c r="L65" i="39" s="1"/>
  <c r="J88" i="39"/>
  <c r="L88" i="39" s="1"/>
  <c r="J162" i="39"/>
  <c r="L162" i="39" s="1"/>
  <c r="J161" i="39"/>
  <c r="L161" i="39" s="1"/>
  <c r="J186" i="39"/>
  <c r="L186" i="39" s="1"/>
  <c r="J46" i="39"/>
  <c r="L46" i="39" s="1"/>
  <c r="J93" i="39"/>
  <c r="L93" i="39" s="1"/>
  <c r="L129" i="39"/>
  <c r="J106" i="39"/>
  <c r="L106" i="39" s="1"/>
  <c r="J105" i="39"/>
  <c r="L105" i="39" s="1"/>
  <c r="J64" i="39"/>
  <c r="L64" i="39" s="1"/>
  <c r="J87" i="39"/>
  <c r="L87" i="39" s="1"/>
  <c r="J51" i="39"/>
  <c r="L51" i="39" s="1"/>
  <c r="L143" i="39"/>
  <c r="L171" i="39"/>
  <c r="L170" i="39"/>
  <c r="L169" i="39"/>
  <c r="L168" i="39"/>
  <c r="L167" i="39"/>
  <c r="J160" i="39"/>
  <c r="L160" i="39" s="1"/>
  <c r="J18" i="39"/>
  <c r="L18" i="39" s="1"/>
  <c r="L159" i="39"/>
  <c r="J104" i="39"/>
  <c r="L104" i="39" s="1"/>
  <c r="L128" i="39"/>
  <c r="L127" i="39"/>
  <c r="J63" i="39"/>
  <c r="L63" i="39" s="1"/>
  <c r="J25" i="39"/>
  <c r="L25" i="39" s="1"/>
  <c r="J86" i="39"/>
  <c r="L86" i="39" s="1"/>
  <c r="J85" i="39"/>
  <c r="L85" i="39" s="1"/>
  <c r="J24" i="39"/>
  <c r="L24" i="39" s="1"/>
  <c r="L174" i="39"/>
  <c r="L173" i="39"/>
  <c r="J19" i="39"/>
  <c r="L19" i="39" s="1"/>
  <c r="J57" i="39"/>
  <c r="L57" i="39" s="1"/>
  <c r="J113" i="39"/>
  <c r="L113" i="39" s="1"/>
  <c r="J126" i="39"/>
  <c r="L126" i="39" s="1"/>
  <c r="J125" i="39"/>
  <c r="L125" i="39" s="1"/>
  <c r="J124" i="39"/>
  <c r="L124" i="39" s="1"/>
  <c r="J123" i="39"/>
  <c r="L123" i="39" s="1"/>
  <c r="J122" i="39"/>
  <c r="L122" i="39" s="1"/>
  <c r="J121" i="39"/>
  <c r="L121" i="39" s="1"/>
  <c r="J185" i="39"/>
  <c r="L185" i="39" s="1"/>
  <c r="J31" i="39"/>
  <c r="L31" i="39" s="1"/>
  <c r="J50" i="39"/>
  <c r="L50" i="39" s="1"/>
  <c r="J158" i="39"/>
  <c r="L158" i="39" s="1"/>
  <c r="J157" i="39"/>
  <c r="L157" i="39" s="1"/>
  <c r="J156" i="39"/>
  <c r="L156" i="39" s="1"/>
  <c r="J155" i="39"/>
  <c r="L155" i="39" s="1"/>
  <c r="J154" i="39"/>
  <c r="L154" i="39" s="1"/>
  <c r="L153" i="39"/>
  <c r="L152" i="39"/>
  <c r="L151" i="39"/>
  <c r="L150" i="39"/>
  <c r="L149" i="39"/>
  <c r="L148" i="39"/>
  <c r="L147" i="39"/>
  <c r="L146" i="39"/>
  <c r="L145" i="39"/>
  <c r="L144" i="39"/>
  <c r="L142" i="39"/>
  <c r="J166" i="39"/>
  <c r="L166" i="39" s="1"/>
  <c r="J165" i="39"/>
  <c r="L165" i="39" s="1"/>
  <c r="J164" i="39"/>
  <c r="L164" i="39" s="1"/>
  <c r="J84" i="39"/>
  <c r="L84" i="39" s="1"/>
  <c r="L182" i="39"/>
  <c r="J62" i="39"/>
  <c r="L62" i="39" s="1"/>
  <c r="J184" i="39"/>
  <c r="L184" i="39" s="1"/>
  <c r="J183" i="39"/>
  <c r="L183" i="39" s="1"/>
  <c r="L141" i="39"/>
  <c r="L181" i="39"/>
  <c r="L180" i="39"/>
  <c r="L179" i="39"/>
  <c r="L178" i="39"/>
  <c r="L177" i="39"/>
  <c r="L176" i="39"/>
  <c r="J83" i="39"/>
  <c r="L83" i="39" s="1"/>
  <c r="J34" i="39"/>
  <c r="L34" i="39" s="1"/>
  <c r="J33" i="39"/>
  <c r="L33" i="39" s="1"/>
  <c r="L191" i="39"/>
  <c r="J190" i="39"/>
  <c r="L190" i="39" s="1"/>
  <c r="J82" i="39"/>
  <c r="L82" i="39" s="1"/>
  <c r="J92" i="39"/>
  <c r="L92" i="39" s="1"/>
  <c r="J89" i="39"/>
  <c r="L89" i="39" s="1"/>
  <c r="J103" i="39"/>
  <c r="L103" i="39" s="1"/>
  <c r="J91" i="39"/>
  <c r="L91" i="39" s="1"/>
  <c r="J120" i="39"/>
  <c r="L120" i="39" s="1"/>
  <c r="J117" i="39"/>
  <c r="L117" i="39" s="1"/>
  <c r="J116" i="39"/>
  <c r="L116" i="39" s="1"/>
  <c r="J119" i="39"/>
  <c r="L119" i="39" s="1"/>
  <c r="J102" i="39"/>
  <c r="L102" i="39" s="1"/>
  <c r="J49" i="39"/>
  <c r="L49" i="39" s="1"/>
  <c r="J101" i="39"/>
  <c r="L101" i="39" s="1"/>
  <c r="J118" i="39"/>
  <c r="L118" i="39" s="1"/>
  <c r="J115" i="39"/>
  <c r="L115" i="39" s="1"/>
  <c r="J94" i="39"/>
  <c r="L94" i="39" s="1"/>
  <c r="J61" i="39"/>
  <c r="L61" i="39" s="1"/>
  <c r="J60" i="39"/>
  <c r="L60" i="39" s="1"/>
  <c r="L56" i="39"/>
  <c r="L98" i="39"/>
  <c r="L100" i="39"/>
  <c r="L99" i="39"/>
  <c r="J30" i="39"/>
  <c r="L30" i="39" s="1"/>
  <c r="J29" i="39"/>
  <c r="L29" i="39" s="1"/>
  <c r="J28" i="39"/>
  <c r="L28" i="39" s="1"/>
  <c r="J27" i="39"/>
  <c r="L27" i="39" s="1"/>
  <c r="J23" i="39"/>
  <c r="L23" i="39" s="1"/>
  <c r="J21" i="39"/>
  <c r="L21" i="39" s="1"/>
  <c r="J45" i="39"/>
  <c r="L45" i="39" s="1"/>
  <c r="J44" i="39"/>
  <c r="L44" i="39" s="1"/>
  <c r="J114" i="39"/>
  <c r="L114" i="39" s="1"/>
  <c r="J20" i="39"/>
  <c r="L20" i="39" s="1"/>
  <c r="J90" i="39"/>
  <c r="L90" i="39" s="1"/>
  <c r="J26" i="39"/>
  <c r="L26" i="39" s="1"/>
  <c r="J43" i="39"/>
  <c r="L43" i="39" s="1"/>
  <c r="J42" i="39"/>
  <c r="L42" i="39" s="1"/>
  <c r="J41" i="39"/>
  <c r="L41" i="39" s="1"/>
  <c r="J40" i="39"/>
  <c r="L40" i="39" s="1"/>
  <c r="J39" i="39"/>
  <c r="L39" i="39" s="1"/>
  <c r="J38" i="39"/>
  <c r="L38" i="39" s="1"/>
  <c r="J37" i="39"/>
  <c r="L37" i="39" s="1"/>
  <c r="J36" i="39"/>
  <c r="L36" i="39" s="1"/>
  <c r="L172" i="39"/>
  <c r="J112" i="39"/>
  <c r="L112" i="39" s="1"/>
  <c r="J111" i="39"/>
  <c r="L111" i="39" s="1"/>
  <c r="J17" i="39"/>
  <c r="L17" i="39" s="1"/>
  <c r="J16" i="39"/>
  <c r="L16" i="39" s="1"/>
  <c r="J15" i="39"/>
  <c r="L15" i="39" s="1"/>
  <c r="J14" i="39"/>
  <c r="L14" i="39" s="1"/>
  <c r="J13" i="39"/>
  <c r="L13" i="39" s="1"/>
  <c r="J12" i="39"/>
  <c r="L12" i="39" s="1"/>
  <c r="J11" i="39"/>
  <c r="L11" i="39" s="1"/>
  <c r="J10" i="39"/>
  <c r="L10" i="39" s="1"/>
  <c r="J9" i="39"/>
  <c r="L9" i="39" s="1"/>
  <c r="J8" i="39"/>
  <c r="L8" i="39" s="1"/>
  <c r="J7" i="39"/>
  <c r="J192" i="39" l="1"/>
  <c r="L195" i="39"/>
  <c r="L272" i="39" s="1"/>
  <c r="J272" i="39"/>
  <c r="H286" i="39"/>
  <c r="I286" i="39"/>
  <c r="G286" i="39"/>
  <c r="L7" i="39"/>
  <c r="L192" i="39" s="1"/>
  <c r="L286" i="39" l="1"/>
  <c r="J286" i="39"/>
  <c r="C53" i="14" l="1"/>
  <c r="B53" i="14"/>
  <c r="G329" i="52"/>
  <c r="H329" i="52"/>
  <c r="L329" i="5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</author>
    <author>RECEPTION JAFZA</author>
  </authors>
  <commentList>
    <comment ref="C6" authorId="0" shapeId="0" xr:uid="{00000000-0006-0000-0000-000001000000}">
      <text>
        <r>
          <rPr>
            <b/>
            <sz val="9"/>
            <rFont val="Tahoma"/>
            <family val="2"/>
          </rPr>
          <t>KC:</t>
        </r>
        <r>
          <rPr>
            <sz val="9"/>
            <rFont val="Tahoma"/>
            <family val="2"/>
          </rPr>
          <t xml:space="preserve">
Mr. Manish Kumar old sim</t>
        </r>
      </text>
    </comment>
    <comment ref="C7" authorId="1" shapeId="0" xr:uid="{00000000-0006-0000-0000-000002000000}">
      <text>
        <r>
          <rPr>
            <sz val="11"/>
            <rFont val="Calibri"/>
            <family val="2"/>
          </rPr>
          <t>RECEPTION JAFZA:
Sim Cards for drivers</t>
        </r>
      </text>
    </comment>
    <comment ref="C18" authorId="1" shapeId="0" xr:uid="{00000000-0006-0000-0000-000003000000}">
      <text>
        <r>
          <rPr>
            <b/>
            <sz val="9"/>
            <rFont val="Tahoma"/>
            <family val="2"/>
          </rPr>
          <t>RECEPTION JAFZA:</t>
        </r>
        <r>
          <rPr>
            <sz val="9"/>
            <rFont val="Tahoma"/>
            <family val="2"/>
          </rPr>
          <t xml:space="preserve">
Mr. Pranav Panayan old sim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RECEPTION JAFZA</author>
  </authors>
  <commentList>
    <comment ref="E14" authorId="0" shapeId="0" xr:uid="{00000000-0006-0000-0200-000001000000}">
      <text>
        <r>
          <rPr>
            <b/>
            <sz val="9"/>
            <rFont val="Tahoma"/>
            <family val="2"/>
          </rPr>
          <t>RECEPTION JAFZA:</t>
        </r>
        <r>
          <rPr>
            <sz val="9"/>
            <rFont val="Tahoma"/>
            <family val="2"/>
          </rPr>
          <t xml:space="preserve">
Mr. Binod Subedi sim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Anj Booc</author>
    <author>RECEPTION JAFZA</author>
  </authors>
  <commentList>
    <comment ref="E157" authorId="0" shapeId="0" xr:uid="{C4E4EB80-9F8D-4FD5-924C-7A00B757A448}">
      <text>
        <r>
          <rPr>
            <sz val="11"/>
            <rFont val="Calibri"/>
            <family val="2"/>
          </rPr>
          <t xml:space="preserve">Anj Booc:
WH POD DEVICE
</t>
        </r>
      </text>
    </comment>
    <comment ref="E166" authorId="1" shapeId="0" xr:uid="{3D10DD23-61B7-4E88-983B-AB702E3D3921}">
      <text>
        <r>
          <rPr>
            <sz val="11"/>
            <rFont val="Calibri"/>
            <family val="2"/>
          </rPr>
          <t>RECEPTION JAFZA:
Sim Cards for drivers</t>
        </r>
      </text>
    </comment>
    <comment ref="E182" authorId="1" shapeId="0" xr:uid="{5F54AD2D-D2CC-4892-BF17-7F3464CD4551}">
      <text>
        <r>
          <rPr>
            <b/>
            <sz val="9"/>
            <rFont val="Tahoma"/>
            <family val="2"/>
          </rPr>
          <t>RECEPTION JAFZA:</t>
        </r>
        <r>
          <rPr>
            <sz val="9"/>
            <rFont val="Tahoma"/>
            <family val="2"/>
          </rPr>
          <t xml:space="preserve">
(Receiving Team's Supervisor)</t>
        </r>
      </text>
    </comment>
    <comment ref="E264" authorId="1" shapeId="0" xr:uid="{52C88F91-7027-4A39-A745-74FE8B08A57A}">
      <text>
        <r>
          <rPr>
            <b/>
            <sz val="9"/>
            <color indexed="81"/>
            <rFont val="Tahoma"/>
            <family val="2"/>
          </rPr>
          <t>RECEPTION JAFZA:</t>
        </r>
        <r>
          <rPr>
            <sz val="9"/>
            <color indexed="81"/>
            <rFont val="Tahoma"/>
            <family val="2"/>
          </rPr>
          <t xml:space="preserve">
marketing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RECEPTION JAFZA</author>
    <author>Anj Booc</author>
  </authors>
  <commentList>
    <comment ref="E89" authorId="0" shapeId="0" xr:uid="{5A51169E-DE11-4612-A498-9643EB58A397}">
      <text>
        <r>
          <rPr>
            <b/>
            <sz val="9"/>
            <color indexed="81"/>
            <rFont val="Tahoma"/>
            <family val="2"/>
          </rPr>
          <t>RECEPTION JAFZA:</t>
        </r>
        <r>
          <rPr>
            <sz val="9"/>
            <color indexed="81"/>
            <rFont val="Tahoma"/>
            <family val="2"/>
          </rPr>
          <t xml:space="preserve">
marketing</t>
        </r>
      </text>
    </comment>
    <comment ref="E174" authorId="1" shapeId="0" xr:uid="{FF229DC0-E5AE-42CB-881D-36A9E6D30618}">
      <text>
        <r>
          <rPr>
            <sz val="11"/>
            <rFont val="Calibri"/>
            <family val="2"/>
          </rPr>
          <t xml:space="preserve">Anj Booc:
WH POD DEVICE
</t>
        </r>
      </text>
    </comment>
    <comment ref="E182" authorId="0" shapeId="0" xr:uid="{4DBBB390-2BF1-408F-8757-9F4C0D09EB93}">
      <text>
        <r>
          <rPr>
            <sz val="11"/>
            <rFont val="Calibri"/>
            <family val="2"/>
          </rPr>
          <t>RECEPTION JAFZA:
Sim Cards for drivers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RECEPTION JAFZA</author>
    <author>Anj Booc</author>
    <author>tc={5BFB5C81-6761-46E8-BA06-458D1D5F2F20}</author>
  </authors>
  <commentList>
    <comment ref="E89" authorId="0" shapeId="0" xr:uid="{6557A98E-5A45-4306-9C4C-4FC995F8854D}">
      <text>
        <r>
          <rPr>
            <b/>
            <sz val="9"/>
            <color indexed="81"/>
            <rFont val="Tahoma"/>
            <family val="2"/>
          </rPr>
          <t>RECEPTION JAFZA:</t>
        </r>
        <r>
          <rPr>
            <sz val="9"/>
            <color indexed="81"/>
            <rFont val="Tahoma"/>
            <family val="2"/>
          </rPr>
          <t xml:space="preserve">
marketing</t>
        </r>
      </text>
    </comment>
    <comment ref="E174" authorId="1" shapeId="0" xr:uid="{5532B321-F338-497E-9938-5BE334440958}">
      <text>
        <r>
          <rPr>
            <sz val="11"/>
            <rFont val="Calibri"/>
            <family val="2"/>
          </rPr>
          <t xml:space="preserve">Anj Booc:
WH POD DEVICE
</t>
        </r>
      </text>
    </comment>
    <comment ref="E182" authorId="0" shapeId="0" xr:uid="{306EA4EA-0845-4306-A834-5B1BCD5643B2}">
      <text>
        <r>
          <rPr>
            <sz val="11"/>
            <rFont val="Calibri"/>
            <family val="2"/>
          </rPr>
          <t>RECEPTION JAFZA:
Sim Cards for drivers</t>
        </r>
      </text>
    </comment>
    <comment ref="B214" authorId="2" shapeId="0" xr:uid="{5BFB5C81-6761-46E8-BA06-458D1D5F2F20}">
      <text>
        <t>[Threaded comment]
Your version of Excel allows you to read this threaded comment; however, any edits to it will get removed if the file is opened in a newer version of Excel. Learn more: https://go.microsoft.com/fwlink/?linkid=870924
Comment:
    Isuru old sim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RECEPTION JAFZA</author>
    <author>Anj Booc</author>
    <author>tc={2910BAA7-15E1-49E0-930B-5FDBA58966DE}</author>
  </authors>
  <commentList>
    <comment ref="E94" authorId="0" shapeId="0" xr:uid="{FF917C0E-1904-4CE3-9A00-5B57C16A4770}">
      <text>
        <r>
          <rPr>
            <b/>
            <sz val="9"/>
            <color indexed="81"/>
            <rFont val="Tahoma"/>
            <family val="2"/>
          </rPr>
          <t>RECEPTION JAFZA:</t>
        </r>
        <r>
          <rPr>
            <sz val="9"/>
            <color indexed="81"/>
            <rFont val="Tahoma"/>
            <family val="2"/>
          </rPr>
          <t xml:space="preserve">
marketing</t>
        </r>
      </text>
    </comment>
    <comment ref="E184" authorId="1" shapeId="0" xr:uid="{1C0887A5-769A-4E11-8138-CC98FCC7BF0A}">
      <text>
        <r>
          <rPr>
            <sz val="11"/>
            <rFont val="Calibri"/>
            <family val="2"/>
          </rPr>
          <t xml:space="preserve">Anj Booc:
WH POD DEVICE
</t>
        </r>
      </text>
    </comment>
    <comment ref="E194" authorId="0" shapeId="0" xr:uid="{F14AA69E-2B49-4CCA-88DA-FB9B24F4E892}">
      <text>
        <r>
          <rPr>
            <sz val="11"/>
            <rFont val="Calibri"/>
            <family val="2"/>
          </rPr>
          <t>RECEPTION JAFZA:
Sim Cards for drivers</t>
        </r>
      </text>
    </comment>
    <comment ref="B227" authorId="2" shapeId="0" xr:uid="{2910BAA7-15E1-49E0-930B-5FDBA58966DE}">
      <text>
        <t>[Threaded comment]
Your version of Excel allows you to read this threaded comment; however, any edits to it will get removed if the file is opened in a newer version of Excel. Learn more: https://go.microsoft.com/fwlink/?linkid=870924
Comment:
    Isuru old sim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RECEPTION JAFZA</author>
    <author>Anj Booc</author>
    <author>tc={3399A1CA-E340-40C6-8689-6A617D346303}</author>
  </authors>
  <commentList>
    <comment ref="E95" authorId="0" shapeId="0" xr:uid="{4B112CA0-8993-4A9E-BE04-E5AD93D90C2A}">
      <text>
        <r>
          <rPr>
            <b/>
            <sz val="9"/>
            <color indexed="81"/>
            <rFont val="Tahoma"/>
            <family val="2"/>
          </rPr>
          <t>RECEPTION JAFZA:</t>
        </r>
        <r>
          <rPr>
            <sz val="9"/>
            <color indexed="81"/>
            <rFont val="Tahoma"/>
            <family val="2"/>
          </rPr>
          <t xml:space="preserve">
marketing</t>
        </r>
      </text>
    </comment>
    <comment ref="E189" authorId="1" shapeId="0" xr:uid="{04C17D3E-4E40-4ECF-9801-CBC58D18FBD4}">
      <text>
        <r>
          <rPr>
            <sz val="11"/>
            <rFont val="Calibri"/>
            <family val="2"/>
          </rPr>
          <t xml:space="preserve">Anj Booc:
WH POD DEVICE
</t>
        </r>
      </text>
    </comment>
    <comment ref="E198" authorId="0" shapeId="0" xr:uid="{606873AA-6870-4C84-A1BD-535FB90493A9}">
      <text>
        <r>
          <rPr>
            <sz val="11"/>
            <rFont val="Calibri"/>
            <family val="2"/>
          </rPr>
          <t>RECEPTION JAFZA:
Sim Cards for drivers</t>
        </r>
      </text>
    </comment>
    <comment ref="B232" authorId="2" shapeId="0" xr:uid="{3399A1CA-E340-40C6-8689-6A617D346303}">
      <text>
        <t>[Threaded comment]
Your version of Excel allows you to read this threaded comment; however, any edits to it will get removed if the file is opened in a newer version of Excel. Learn more: https://go.microsoft.com/fwlink/?linkid=870924
Comment:
    Isuru old sim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RECEPTION JAFZA</author>
    <author>Anj Booc</author>
  </authors>
  <commentList>
    <comment ref="E94" authorId="0" shapeId="0" xr:uid="{FAEDEFFD-E626-4B18-BFB2-A6FD7E1CAA09}">
      <text>
        <r>
          <rPr>
            <b/>
            <sz val="9"/>
            <color indexed="81"/>
            <rFont val="Tahoma"/>
            <family val="2"/>
          </rPr>
          <t>RECEPTION JAFZA:</t>
        </r>
        <r>
          <rPr>
            <sz val="9"/>
            <color indexed="81"/>
            <rFont val="Tahoma"/>
            <family val="2"/>
          </rPr>
          <t xml:space="preserve">
marketing</t>
        </r>
      </text>
    </comment>
    <comment ref="E186" authorId="1" shapeId="0" xr:uid="{28E05F48-EBD2-4B54-996E-96EAFF3F82E2}">
      <text>
        <r>
          <rPr>
            <sz val="11"/>
            <rFont val="Calibri"/>
            <family val="2"/>
          </rPr>
          <t xml:space="preserve">Anj Booc:
WH POD DEVICE
</t>
        </r>
      </text>
    </comment>
    <comment ref="E195" authorId="0" shapeId="0" xr:uid="{394BDCAC-1074-4F3B-9BF2-AB3889141360}">
      <text>
        <r>
          <rPr>
            <sz val="11"/>
            <rFont val="Calibri"/>
            <family val="2"/>
          </rPr>
          <t>RECEPTION JAFZA:
Sim Cards for drivers</t>
        </r>
      </text>
    </comment>
  </commentList>
</comments>
</file>

<file path=xl/sharedStrings.xml><?xml version="1.0" encoding="utf-8"?>
<sst xmlns="http://schemas.openxmlformats.org/spreadsheetml/2006/main" count="5959" uniqueCount="1127">
  <si>
    <t>058 - 1093604</t>
  </si>
  <si>
    <t>AVAILABLE SIM 1</t>
  </si>
  <si>
    <t>In IT Stock</t>
  </si>
  <si>
    <t>050 - 7238724</t>
  </si>
  <si>
    <t>AVAILABLE SIM 2</t>
  </si>
  <si>
    <t>050 - 5428503</t>
  </si>
  <si>
    <t>AVAILABLE SIM 3</t>
  </si>
  <si>
    <t>Mohd Aqil Siddiqui</t>
  </si>
  <si>
    <t>050 - 5428519</t>
  </si>
  <si>
    <t>AVAILABLE SIM 4</t>
  </si>
  <si>
    <t>Neweast Whatsapp Dedicated</t>
  </si>
  <si>
    <t>050 - 6891135</t>
  </si>
  <si>
    <t>AVAILABLE SIM 5</t>
  </si>
  <si>
    <t>Robert Ateo</t>
  </si>
  <si>
    <t>054 - 7013942</t>
  </si>
  <si>
    <t>AVAILABLE SIM 6</t>
  </si>
  <si>
    <t>Sahul Hameed</t>
  </si>
  <si>
    <t>054 - 7013947</t>
  </si>
  <si>
    <t>AVAILABLE SIM 7</t>
  </si>
  <si>
    <t>Aftab Shokat Hussain</t>
  </si>
  <si>
    <t>054 - 7014126</t>
  </si>
  <si>
    <t>AVAILABLE SIM 8</t>
  </si>
  <si>
    <t>Waqas Rafique</t>
  </si>
  <si>
    <t>054 - 7027491</t>
  </si>
  <si>
    <t>AVAILABLE SIM 9</t>
  </si>
  <si>
    <t>Rajan Kalla Veettil</t>
  </si>
  <si>
    <t>054 - 7028471</t>
  </si>
  <si>
    <t>AVAILABLE SIM 10</t>
  </si>
  <si>
    <t>Abdur Rahman Ghani</t>
  </si>
  <si>
    <t>054 - 7028561</t>
  </si>
  <si>
    <t>AVAILABLE SIM 11</t>
  </si>
  <si>
    <t>Faisal Thajudeen</t>
  </si>
  <si>
    <t>054 - 7028895</t>
  </si>
  <si>
    <t>AVAILABLE SIM 12</t>
  </si>
  <si>
    <t>Babar Hussain</t>
  </si>
  <si>
    <t>056 - 6645767</t>
  </si>
  <si>
    <t>AVAILABLE SIM 13</t>
  </si>
  <si>
    <t>Mr. Pranav Panayan with Mr. Manoj</t>
  </si>
  <si>
    <t>054 - 5170285</t>
  </si>
  <si>
    <t>AVAILABLE SIM 14</t>
  </si>
  <si>
    <t>IN IT</t>
  </si>
  <si>
    <t>054 - 5170671</t>
  </si>
  <si>
    <t>AVAILABLE SIM 15</t>
  </si>
  <si>
    <t>Camara Mohammed</t>
  </si>
  <si>
    <t>056 - 4087594</t>
  </si>
  <si>
    <t>AVAILABLE SIM 16</t>
  </si>
  <si>
    <t>Jabir Sulaiman</t>
  </si>
  <si>
    <t>056 - 4091352</t>
  </si>
  <si>
    <t>AVAILABLE SIM 17</t>
  </si>
  <si>
    <t>Zia Baniyas</t>
  </si>
  <si>
    <t>056 - 4091363</t>
  </si>
  <si>
    <t>056 - 6085136</t>
  </si>
  <si>
    <t>AVAILABLE SIM 19</t>
  </si>
  <si>
    <t>Mr. Maxim</t>
  </si>
  <si>
    <t>056 - 6085191</t>
  </si>
  <si>
    <t>AVAILABLE SIM 20</t>
  </si>
  <si>
    <t>Mr. Vyravan Sankar</t>
  </si>
  <si>
    <t>056 - 6085228</t>
  </si>
  <si>
    <t>AVAILABLE SIM 21</t>
  </si>
  <si>
    <t>Mr. Shawki Mohamed Abdelfattah Elkholi</t>
  </si>
  <si>
    <t>056 - 6085301</t>
  </si>
  <si>
    <t>AVAILABLE SIM 22</t>
  </si>
  <si>
    <t>Mr. Varghese Sujith</t>
  </si>
  <si>
    <t>056 - 6085378</t>
  </si>
  <si>
    <t>AVAILABLE SIM 23</t>
  </si>
  <si>
    <t>Seif Eddin</t>
  </si>
  <si>
    <t>056 - 6085607</t>
  </si>
  <si>
    <t>AVAILABLE SIM 24</t>
  </si>
  <si>
    <t>IT Stock</t>
  </si>
  <si>
    <t>056 - 6085673</t>
  </si>
  <si>
    <t>AVAILABLE SIM 25</t>
  </si>
  <si>
    <t>056 - 6085758</t>
  </si>
  <si>
    <t>AVAILABLE SIM 26</t>
  </si>
  <si>
    <t>054-5817168</t>
  </si>
  <si>
    <t>Ms. Olga Kameniuk</t>
  </si>
  <si>
    <t>AED 100.00</t>
  </si>
  <si>
    <t>056-5269808</t>
  </si>
  <si>
    <t>Mr. Lijan Devassy</t>
  </si>
  <si>
    <t>054-3059802</t>
  </si>
  <si>
    <t>Mr. Henry Shaaya</t>
  </si>
  <si>
    <t>AED 300.00</t>
  </si>
  <si>
    <t>056-6613646</t>
  </si>
  <si>
    <t>Mr. Aslam Parambil (PRO)</t>
  </si>
  <si>
    <t>056-1889499</t>
  </si>
  <si>
    <t>Mr. Raju Davis</t>
  </si>
  <si>
    <t>054-3057204</t>
  </si>
  <si>
    <t>Mr. Imran Rafique</t>
  </si>
  <si>
    <t>AED    50.00</t>
  </si>
  <si>
    <t>056-4338724</t>
  </si>
  <si>
    <t>Ms. Sima Abedi</t>
  </si>
  <si>
    <t>056-4160041</t>
  </si>
  <si>
    <t>Mr. Elvis Kwaku</t>
  </si>
  <si>
    <t>050-8759099</t>
  </si>
  <si>
    <t>Ms. Thanzil Hamza</t>
  </si>
  <si>
    <t>050-9359099</t>
  </si>
  <si>
    <t>Mr. Sunil Birudula</t>
  </si>
  <si>
    <t>050-7486099</t>
  </si>
  <si>
    <t>Ms. Lorielyn Bonsol</t>
  </si>
  <si>
    <t>050-5286099</t>
  </si>
  <si>
    <t>Mr. Adel Dahan</t>
  </si>
  <si>
    <t>050-7986099</t>
  </si>
  <si>
    <t>Mr. Haneefa Mohamed</t>
  </si>
  <si>
    <t>050-8072099</t>
  </si>
  <si>
    <t>Ms. Rita</t>
  </si>
  <si>
    <t>050-6624802</t>
  </si>
  <si>
    <t>Mr. Jafferkhan Yakoob</t>
  </si>
  <si>
    <t>050-9847099</t>
  </si>
  <si>
    <t>Mr. Mohamad Mikari </t>
  </si>
  <si>
    <t>050-1225746</t>
  </si>
  <si>
    <t>Mr. Keizo Kamata</t>
  </si>
  <si>
    <t>050-7529099</t>
  </si>
  <si>
    <t>Mr. Jaideep amuloju</t>
  </si>
  <si>
    <t>050-9148099</t>
  </si>
  <si>
    <t>Mr. Sreeraj Mattool (driver)</t>
  </si>
  <si>
    <t>050-4847099</t>
  </si>
  <si>
    <t>Mr. Sherbek Tanikulov</t>
  </si>
  <si>
    <t>050-1226372</t>
  </si>
  <si>
    <t>Ms.Carina Pascual</t>
  </si>
  <si>
    <t>050-2698427</t>
  </si>
  <si>
    <t>Mr. Shaifiquee Mulla (driver)</t>
  </si>
  <si>
    <t>052-3570142</t>
  </si>
  <si>
    <t>Mr. Firas Marwan</t>
  </si>
  <si>
    <t>052-3570182</t>
  </si>
  <si>
    <t>Mr. Imran Muhammad (R&amp;M)</t>
  </si>
  <si>
    <t>058-1093603</t>
  </si>
  <si>
    <t>Mr. Guru Gopalan</t>
  </si>
  <si>
    <t>AED 200.00</t>
  </si>
  <si>
    <t>058-1093604</t>
  </si>
  <si>
    <t>Nimesh(IT)</t>
  </si>
  <si>
    <t>055-4534443</t>
  </si>
  <si>
    <t>Mr. Ahmad Juma Ahli</t>
  </si>
  <si>
    <t>050-2773355</t>
  </si>
  <si>
    <t>Mr. Juma 1</t>
  </si>
  <si>
    <t>050-4517222</t>
  </si>
  <si>
    <t>Mr. Juma 2</t>
  </si>
  <si>
    <t>055-6444132</t>
  </si>
  <si>
    <t>Mr. Juma 3</t>
  </si>
  <si>
    <t>055-2093322</t>
  </si>
  <si>
    <t>Mr. Juma 4</t>
  </si>
  <si>
    <t>052-5751327</t>
  </si>
  <si>
    <t>Mr. AbdelHamid Wadifi</t>
  </si>
  <si>
    <t>052-6071303</t>
  </si>
  <si>
    <t>elivis</t>
  </si>
  <si>
    <t>056-6613655</t>
  </si>
  <si>
    <t>Mr. Jesman Murugunatham</t>
  </si>
  <si>
    <t>056-5455277</t>
  </si>
  <si>
    <t>Mr. Tadashi  Yamashita</t>
  </si>
  <si>
    <t>AED 350.00</t>
  </si>
  <si>
    <t>052-5725512</t>
  </si>
  <si>
    <t>Mr. Paolo Alkhoury</t>
  </si>
  <si>
    <t>052-5725562</t>
  </si>
  <si>
    <t>Mr. Benny joesph</t>
  </si>
  <si>
    <t>050-4563874</t>
  </si>
  <si>
    <t>Guard House (main)</t>
  </si>
  <si>
    <t>050-5173288</t>
  </si>
  <si>
    <t>Mr. Nazeer (driver)</t>
  </si>
  <si>
    <t>050-4036988</t>
  </si>
  <si>
    <t>Mr. Rizwan Ahmed</t>
  </si>
  <si>
    <t>050-1438288</t>
  </si>
  <si>
    <t>Mr. Shakil Ahmed (driver)</t>
  </si>
  <si>
    <t>050-4207288</t>
  </si>
  <si>
    <t>Mr. Sudhi Thannat (driver)</t>
  </si>
  <si>
    <t>050-4056288</t>
  </si>
  <si>
    <t>Mr. Shanavas Khan (driver)</t>
  </si>
  <si>
    <t>050-4024688</t>
  </si>
  <si>
    <t>Mr. Wasim (camp boss)</t>
  </si>
  <si>
    <t>050-1086588</t>
  </si>
  <si>
    <t>Mr. Rhodel Ramos</t>
  </si>
  <si>
    <t>050-4053088</t>
  </si>
  <si>
    <t>Mr. Noras  (driver)</t>
  </si>
  <si>
    <t>050-6017688</t>
  </si>
  <si>
    <t>LOGISTICS DEPARTMENT</t>
  </si>
  <si>
    <t>050-4195188</t>
  </si>
  <si>
    <t>Mr. Avinash (driver)</t>
  </si>
  <si>
    <t>050-8994607</t>
  </si>
  <si>
    <t>Mr. Rajesh Parambath</t>
  </si>
  <si>
    <t>055-5368719</t>
  </si>
  <si>
    <t>Mr. Adil Younis (driver)</t>
  </si>
  <si>
    <t>050-5698388</t>
  </si>
  <si>
    <t>Mr. Sunil Suresh (battery)</t>
  </si>
  <si>
    <t>056-9963872</t>
  </si>
  <si>
    <t>Mr. Twahir Issah</t>
  </si>
  <si>
    <t>056-4226828</t>
  </si>
  <si>
    <t>Mr. Jestin Jose</t>
  </si>
  <si>
    <t>056-3898800</t>
  </si>
  <si>
    <t>Mr. Sultan Ghani</t>
  </si>
  <si>
    <t>055-7650942</t>
  </si>
  <si>
    <t>Mr. Mohammed Abdulla</t>
  </si>
  <si>
    <t>050-1403288</t>
  </si>
  <si>
    <t>GUARD HOUSE (NESA)</t>
  </si>
  <si>
    <t>050-1859099</t>
  </si>
  <si>
    <t>Mr. Dimitris Revinthis (NESA)</t>
  </si>
  <si>
    <t>050-3946099</t>
  </si>
  <si>
    <t>Mr. Samah Malaeb (NESA)</t>
  </si>
  <si>
    <t>050-2846099</t>
  </si>
  <si>
    <t>Mr. Neeraj Kundar (NESA)</t>
  </si>
  <si>
    <t>050-4209066</t>
  </si>
  <si>
    <t>Mr. Shamjeer Ahamed (NESA)</t>
  </si>
  <si>
    <t>AED 101.25</t>
  </si>
  <si>
    <t>050-9346099</t>
  </si>
  <si>
    <t>Mr. Manoj Ravindran (NESA)</t>
  </si>
  <si>
    <t>050-8746099</t>
  </si>
  <si>
    <t>Mr. Manikandan Tanjore</t>
  </si>
  <si>
    <t>050-1823099</t>
  </si>
  <si>
    <t>Mr.Jiyas MJ (NESA)</t>
  </si>
  <si>
    <t>050-6326099</t>
  </si>
  <si>
    <t>Ms. Annie (NESA)</t>
  </si>
  <si>
    <t>050-1713099</t>
  </si>
  <si>
    <t>Mr. Ainas Purayil (NESA)-shamjeer</t>
  </si>
  <si>
    <t>050-6384099</t>
  </si>
  <si>
    <t>Mr. Abdul Haseeb</t>
  </si>
  <si>
    <t>AED   100.00</t>
  </si>
  <si>
    <t>050-7672099</t>
  </si>
  <si>
    <t>Mr. Nishad Gopi (NESA)</t>
  </si>
  <si>
    <t>050-4672099</t>
  </si>
  <si>
    <t>Vinayarajan</t>
  </si>
  <si>
    <t>050-4061099</t>
  </si>
  <si>
    <t>Transport  team</t>
  </si>
  <si>
    <t>050-5021099</t>
  </si>
  <si>
    <t>Ms. Athira (NESA)</t>
  </si>
  <si>
    <t>050-1225075</t>
  </si>
  <si>
    <t>NESA Available sim-shamjeer</t>
  </si>
  <si>
    <t>050-1224612</t>
  </si>
  <si>
    <t>WAREHOUSE (NESA)</t>
  </si>
  <si>
    <t>056-5028154</t>
  </si>
  <si>
    <t>Eissa Abdalla</t>
  </si>
  <si>
    <t>056-5067482</t>
  </si>
  <si>
    <t>Vishnu Mahendran</t>
  </si>
  <si>
    <t>056-4339504</t>
  </si>
  <si>
    <t>Ali sharra</t>
  </si>
  <si>
    <t>056-2183981</t>
  </si>
  <si>
    <t>nicholsa.phillips</t>
  </si>
  <si>
    <t>054-5820965</t>
  </si>
  <si>
    <t>Fatima</t>
  </si>
  <si>
    <t>054-9983917</t>
  </si>
  <si>
    <t>Mohammed ibqal (Transport)</t>
  </si>
  <si>
    <t>056-4339450</t>
  </si>
  <si>
    <t>Joseph Hanna</t>
  </si>
  <si>
    <t>056-4339451</t>
  </si>
  <si>
    <t>Karam Abukhazneh</t>
  </si>
  <si>
    <t>056-9984943</t>
  </si>
  <si>
    <t>Mr. Srejeeth Sudhakaran</t>
  </si>
  <si>
    <t>056-9985320</t>
  </si>
  <si>
    <t>Tahir Irshad</t>
  </si>
  <si>
    <t>056-9985493</t>
  </si>
  <si>
    <t>Mr. Neil Valianth </t>
  </si>
  <si>
    <t>056-9986243</t>
  </si>
  <si>
    <t>Nantha Kumar</t>
  </si>
  <si>
    <t>056-9986246</t>
  </si>
  <si>
    <t>Moazzam Nasir</t>
  </si>
  <si>
    <t>056-4105157</t>
  </si>
  <si>
    <t>Issah</t>
  </si>
  <si>
    <t>AED 50</t>
  </si>
  <si>
    <t>056-4105153</t>
  </si>
  <si>
    <t>Mr. Vinod Kumar Jangir</t>
  </si>
  <si>
    <t>056-5017538</t>
  </si>
  <si>
    <t>Mr. Suhas D'silva</t>
  </si>
  <si>
    <t>056-4097266</t>
  </si>
  <si>
    <t>Mufta</t>
  </si>
  <si>
    <t>054-9980158</t>
  </si>
  <si>
    <t>Mr. Afreen Mohammed</t>
  </si>
  <si>
    <t>054-9980169</t>
  </si>
  <si>
    <t>Mr. Rostislav Butorin</t>
  </si>
  <si>
    <t>056-5229915</t>
  </si>
  <si>
    <t>Mr. Praveen Balakrishna</t>
  </si>
  <si>
    <t>056-5086703</t>
  </si>
  <si>
    <t>Nimesh Kavinda</t>
  </si>
  <si>
    <t>056-5086712</t>
  </si>
  <si>
    <t>Mr. Jithin MS</t>
  </si>
  <si>
    <t>056-5086721</t>
  </si>
  <si>
    <t>Mr. Matsuda</t>
  </si>
  <si>
    <t>056-5089106</t>
  </si>
  <si>
    <t>Mrs. Sreelaskhmi-HR</t>
  </si>
  <si>
    <t>056-5099848</t>
  </si>
  <si>
    <t>Ms. Hiba Ibrahim</t>
  </si>
  <si>
    <t>050-8754687</t>
  </si>
  <si>
    <t>Supervisors NESA</t>
  </si>
  <si>
    <t>050-8754895</t>
  </si>
  <si>
    <t>Mr. Noor Mohammed</t>
  </si>
  <si>
    <t>055-5961334</t>
  </si>
  <si>
    <t>Mr. Shifas Saly</t>
  </si>
  <si>
    <t>055-9787936</t>
  </si>
  <si>
    <t>Mr. Prashant Nair</t>
  </si>
  <si>
    <t>052-9931169</t>
  </si>
  <si>
    <t>Mr. Rahim Suliman</t>
  </si>
  <si>
    <t>055-1088525</t>
  </si>
  <si>
    <t>Mr. Khaled Al Nashef</t>
  </si>
  <si>
    <t>052-6714270</t>
  </si>
  <si>
    <t>Mr. Sulfi Rasheed</t>
  </si>
  <si>
    <t>052-9600424</t>
  </si>
  <si>
    <t>Mr. Midhun Sajitha Raj</t>
  </si>
  <si>
    <t>055-5746027</t>
  </si>
  <si>
    <t>Mr. sunil sales(battery)</t>
  </si>
  <si>
    <t>055-5113433</t>
  </si>
  <si>
    <t>Mr. Saeed Juma Ahli</t>
  </si>
  <si>
    <t>AED 325.00</t>
  </si>
  <si>
    <t>055-5815183</t>
  </si>
  <si>
    <t>Mr. Ismail Shafei</t>
  </si>
  <si>
    <t>056-5358513</t>
  </si>
  <si>
    <t>Mr. Kalyan Kumar (battery)</t>
  </si>
  <si>
    <t>056-9914431</t>
  </si>
  <si>
    <t>Mr. Abdul Raheem</t>
  </si>
  <si>
    <t>056-6645767</t>
  </si>
  <si>
    <t>Mr. Pranav Panayan</t>
  </si>
  <si>
    <t>055-9412357</t>
  </si>
  <si>
    <t>Mr. AbooSalih (battery)</t>
  </si>
  <si>
    <t>050-6478022</t>
  </si>
  <si>
    <t>Mr. Ashwin Shetty</t>
  </si>
  <si>
    <t>050-6278022</t>
  </si>
  <si>
    <t>Ms. Kirstie Hannah</t>
  </si>
  <si>
    <t>056-9963873</t>
  </si>
  <si>
    <t>Mr. Tigran Davtyan</t>
  </si>
  <si>
    <t>052-8997869</t>
  </si>
  <si>
    <t>Mr. Saif Saniuddin</t>
  </si>
  <si>
    <t>056-9913593</t>
  </si>
  <si>
    <t>Mr. Nazari</t>
  </si>
  <si>
    <t>056-4340386</t>
  </si>
  <si>
    <t>Ms. Magdalena Bautista</t>
  </si>
  <si>
    <t>052-5391860</t>
  </si>
  <si>
    <t>Mr. Raneez Rasheed</t>
  </si>
  <si>
    <t>052-5429031</t>
  </si>
  <si>
    <t>Mr. Mohammed Fawaz</t>
  </si>
  <si>
    <t>055-7559124</t>
  </si>
  <si>
    <t>Mr. Rahul VR</t>
  </si>
  <si>
    <t>058-6924360</t>
  </si>
  <si>
    <t>Ms. Marnila Marley Robles</t>
  </si>
  <si>
    <t>055-2833427</t>
  </si>
  <si>
    <t>siraj</t>
  </si>
  <si>
    <t>055-2833271</t>
  </si>
  <si>
    <t>Mr. Malak Shaker </t>
  </si>
  <si>
    <t>055-2833466</t>
  </si>
  <si>
    <t>Mr. Ajith Nair</t>
  </si>
  <si>
    <t>055-2833254</t>
  </si>
  <si>
    <t>Mr. Mehmood Khan (NESA) </t>
  </si>
  <si>
    <t>052-2870070</t>
  </si>
  <si>
    <t>Mr. Tej Bahadur Thapa</t>
  </si>
  <si>
    <t>052-2865585</t>
  </si>
  <si>
    <t>Mr. Shahid Maliya</t>
  </si>
  <si>
    <t>052-2861162</t>
  </si>
  <si>
    <t>Mr. Junaid Meleyadath</t>
  </si>
  <si>
    <t>054-9908157</t>
  </si>
  <si>
    <t>POD Device - Mr. Muhhemed</t>
  </si>
  <si>
    <t>AED 50.00</t>
  </si>
  <si>
    <t>056-4039568</t>
  </si>
  <si>
    <t>Mrs. Asna Muhammed</t>
  </si>
  <si>
    <t>056-4039569</t>
  </si>
  <si>
    <t>Ms. Priyadharshni Shivji</t>
  </si>
  <si>
    <t>056-4039571</t>
  </si>
  <si>
    <t>Mr. Rizwan Rajab </t>
  </si>
  <si>
    <t>056-4142530</t>
  </si>
  <si>
    <t>Transport</t>
  </si>
  <si>
    <t>050-2507314</t>
  </si>
  <si>
    <t>050-2508269</t>
  </si>
  <si>
    <t>Harishkumar Shivaraman</t>
  </si>
  <si>
    <t>Rizwan Rajab</t>
  </si>
  <si>
    <t>AED100</t>
  </si>
  <si>
    <t>056-5062941</t>
  </si>
  <si>
    <t>Mr. Firas for Maitance Dept</t>
  </si>
  <si>
    <t>056-5062856</t>
  </si>
  <si>
    <t>Jebin Koshy</t>
  </si>
  <si>
    <t>056-5062928</t>
  </si>
  <si>
    <t>Prabu Ramani</t>
  </si>
  <si>
    <t>056-5069440</t>
  </si>
  <si>
    <t>Shahd Amin (HR)</t>
  </si>
  <si>
    <t>056-5069451</t>
  </si>
  <si>
    <t>Rahul Ravichandran</t>
  </si>
  <si>
    <t>056-5069317</t>
  </si>
  <si>
    <t>Muhammed Ribash</t>
  </si>
  <si>
    <t>050-5495042</t>
  </si>
  <si>
    <t>Innocent Saviour</t>
  </si>
  <si>
    <t>050-5492739</t>
  </si>
  <si>
    <t>Siby Joseph</t>
  </si>
  <si>
    <t>050-5494073</t>
  </si>
  <si>
    <t>Nikhil Raj</t>
  </si>
  <si>
    <t>050-5491527</t>
  </si>
  <si>
    <t>Mohamed Aasir Jahangeer</t>
  </si>
  <si>
    <t>050-5490832</t>
  </si>
  <si>
    <t>Muzammil Muhammed </t>
  </si>
  <si>
    <t>050-5428072</t>
  </si>
  <si>
    <t>Sruthy Sudharman</t>
  </si>
  <si>
    <t>050-5428129</t>
  </si>
  <si>
    <t>Mr. Arjun Lal</t>
  </si>
  <si>
    <t>050-5428497</t>
  </si>
  <si>
    <t>Mr. Mitesh Matkhur</t>
  </si>
  <si>
    <t>050-5428503</t>
  </si>
  <si>
    <t>050-5428519</t>
  </si>
  <si>
    <t>Harish Kumar Sivaraman</t>
  </si>
  <si>
    <t>054-7027491</t>
  </si>
  <si>
    <t>054-7028471</t>
  </si>
  <si>
    <t>054-7028895</t>
  </si>
  <si>
    <t>054-7028561</t>
  </si>
  <si>
    <t>050-6891135</t>
  </si>
  <si>
    <t>054-7013942</t>
  </si>
  <si>
    <t>054-7013947</t>
  </si>
  <si>
    <t>054-7014126</t>
  </si>
  <si>
    <t>negt</t>
  </si>
  <si>
    <t>050 - 1859099</t>
  </si>
  <si>
    <t>Mr. Dimitris Revinthis</t>
  </si>
  <si>
    <t>NESA</t>
  </si>
  <si>
    <t>050 - 5021099</t>
  </si>
  <si>
    <t>Ms. Athira Appukuttan</t>
  </si>
  <si>
    <t>056 - 9985493</t>
  </si>
  <si>
    <t xml:space="preserve">Mr. Neil Valianth </t>
  </si>
  <si>
    <t>050 - 1403288</t>
  </si>
  <si>
    <t>050 - 4209066</t>
  </si>
  <si>
    <t>Mr. Shamjeer Ahamed</t>
  </si>
  <si>
    <t>050 - 9346099</t>
  </si>
  <si>
    <t>NEGT</t>
  </si>
  <si>
    <t>050 - 3946099</t>
  </si>
  <si>
    <t>Mr. Samah Malaeb</t>
  </si>
  <si>
    <t>050 - 2846099</t>
  </si>
  <si>
    <t>050 - 1823099</t>
  </si>
  <si>
    <t>Mr. Jiyas MJ (NESA)</t>
  </si>
  <si>
    <t>050 - 7672099</t>
  </si>
  <si>
    <t>055 - 2833254</t>
  </si>
  <si>
    <t xml:space="preserve">Mr. Mehmood Khan (NESA) </t>
  </si>
  <si>
    <t>052 - 5429031</t>
  </si>
  <si>
    <t>050 - 1713099</t>
  </si>
  <si>
    <t>Mr. Muhammed Moidu (Transport)</t>
  </si>
  <si>
    <t>054 - 9983917</t>
  </si>
  <si>
    <t>Mr. Mohammed Iqbal (Transport)</t>
  </si>
  <si>
    <t>050 - 6326099</t>
  </si>
  <si>
    <t>Ms. Annie Abraham</t>
  </si>
  <si>
    <t>050 - 1225075</t>
  </si>
  <si>
    <t>NESA Available Sim - Shamjeer</t>
  </si>
  <si>
    <t>050 - 4672099</t>
  </si>
  <si>
    <t>Mr. Lijesh (NESA)</t>
  </si>
  <si>
    <t>NESA EMPLOYEES</t>
  </si>
  <si>
    <t>Balwinder   Singh</t>
  </si>
  <si>
    <t>Thomas Kwadjo  Boateng</t>
  </si>
  <si>
    <t>Kwaku Abbam  Baah</t>
  </si>
  <si>
    <t>Missa  Ibrahima</t>
  </si>
  <si>
    <t>Nishad  Thuruthiyil Gopi</t>
  </si>
  <si>
    <t>Benjamin Apeadu  Freduah</t>
  </si>
  <si>
    <t>Clifford Boateng  Amankwah</t>
  </si>
  <si>
    <t>Augustine  Buer</t>
  </si>
  <si>
    <t>Seth  Agyakwa</t>
  </si>
  <si>
    <t>Korondo  Kadine</t>
  </si>
  <si>
    <t>Hussan  Lal</t>
  </si>
  <si>
    <t>Jiyas MJ</t>
  </si>
  <si>
    <t>Sumon Kumar  Saha</t>
  </si>
  <si>
    <t>Mehmood  Khan</t>
  </si>
  <si>
    <t>Manoj  Ravindran</t>
  </si>
  <si>
    <t>Selom Fia Kekle  Sessi</t>
  </si>
  <si>
    <t>Shanthi Shiroma Pieris   Hettiarachchige</t>
  </si>
  <si>
    <t>Nasarudheen  Poolamtharayil Moidheen</t>
  </si>
  <si>
    <t>Neeraj Ramesh  Kundar</t>
  </si>
  <si>
    <t>Frank Amoako</t>
  </si>
  <si>
    <t>Shaha Pohan</t>
  </si>
  <si>
    <t>Bernard Manu Gyabeng</t>
  </si>
  <si>
    <t>Kwabena Aboagye-Acheampong</t>
  </si>
  <si>
    <t>Bismark Oppong</t>
  </si>
  <si>
    <t>Athira Appukuttan</t>
  </si>
  <si>
    <t>Fahad Rasheeda Salim</t>
  </si>
  <si>
    <t>Tanveer Khan</t>
  </si>
  <si>
    <t>Sajeesh Sathyan Panikaruparambil</t>
  </si>
  <si>
    <t>Narendra Karki</t>
  </si>
  <si>
    <t>Gautam Kumar Sah</t>
  </si>
  <si>
    <t>Emmanuel Kofi Ofori</t>
  </si>
  <si>
    <t>ON A/C: ETISALAT EXPENSE</t>
  </si>
  <si>
    <t>Date of payment : 04 JULY 2025</t>
  </si>
  <si>
    <t>JUNE 2025</t>
  </si>
  <si>
    <t xml:space="preserve">CCD USED:  </t>
  </si>
  <si>
    <t>S/N</t>
  </si>
  <si>
    <t>TEL. NO.</t>
  </si>
  <si>
    <t>NAME</t>
  </si>
  <si>
    <t>USAGE</t>
  </si>
  <si>
    <t>NEGTE EXP.</t>
  </si>
  <si>
    <t>PERSONAL USAGE</t>
  </si>
  <si>
    <t>EXCESS</t>
  </si>
  <si>
    <t>REMARKS</t>
  </si>
  <si>
    <t>LIMIT</t>
  </si>
  <si>
    <t>VAT 5%</t>
  </si>
  <si>
    <t>ADDT'L</t>
  </si>
  <si>
    <t>TOTAL</t>
  </si>
  <si>
    <t>ACC. NO.</t>
  </si>
  <si>
    <t>SAP ID</t>
  </si>
  <si>
    <t>EMP NAME</t>
  </si>
  <si>
    <t>JAFZA ACCOUNTS</t>
  </si>
  <si>
    <t>04 - 8811195</t>
  </si>
  <si>
    <t>JAFZA Landline</t>
  </si>
  <si>
    <t>04 - 8811196</t>
  </si>
  <si>
    <t>JAFZA Fax</t>
  </si>
  <si>
    <t>04 - 2670440</t>
  </si>
  <si>
    <t>04 - 2676128</t>
  </si>
  <si>
    <t>ICT Solution &amp; Services</t>
  </si>
  <si>
    <t>050 - 2773355</t>
  </si>
  <si>
    <t>050 - 4517222</t>
  </si>
  <si>
    <t>055 - 6444132</t>
  </si>
  <si>
    <t>055 - 2093322</t>
  </si>
  <si>
    <t>054 - 3059802</t>
  </si>
  <si>
    <t>NE-Japan</t>
  </si>
  <si>
    <t>056 - 5086721</t>
  </si>
  <si>
    <t>Mr. Takumi Matsuda - NEGT Japan</t>
  </si>
  <si>
    <t>charge to Neweast-Japan</t>
  </si>
  <si>
    <t>056 - 9095334</t>
  </si>
  <si>
    <t>AVAILABLE SIM 1 (Testing (Dont Allocate the number to any user )</t>
  </si>
  <si>
    <t>050 - 6278022</t>
  </si>
  <si>
    <t>Ms. Kirstie Hannah Talastas</t>
  </si>
  <si>
    <t>050 - 1226372</t>
  </si>
  <si>
    <t>Ms. Carina Rose Pascual</t>
  </si>
  <si>
    <t>050 - 8759099</t>
  </si>
  <si>
    <t>050 - 5954645</t>
  </si>
  <si>
    <t>Mr. Ajai Vincent</t>
  </si>
  <si>
    <t>deduction</t>
  </si>
  <si>
    <t>056 - 9913593</t>
  </si>
  <si>
    <t>Mr. Sijo Manglavilayil</t>
  </si>
  <si>
    <t>056 - 4226828</t>
  </si>
  <si>
    <t>054 - 3057204</t>
  </si>
  <si>
    <t>050 - 9359099</t>
  </si>
  <si>
    <t>Mr. Sunil Kumar Birudula</t>
  </si>
  <si>
    <t>056 - 9984943</t>
  </si>
  <si>
    <t>Mr. Sreejith Plavalappil Sudhakaran</t>
  </si>
  <si>
    <t>Mr. Amit Kumar</t>
  </si>
  <si>
    <t>cash</t>
  </si>
  <si>
    <t>050 - 6147664</t>
  </si>
  <si>
    <t>Mr. Anil Paul</t>
  </si>
  <si>
    <t>050 - 4563874</t>
  </si>
  <si>
    <t>GUARD HOUSE (WH)</t>
  </si>
  <si>
    <t>050 - 7099821</t>
  </si>
  <si>
    <t>Warehouse 03 - security</t>
  </si>
  <si>
    <t>056 - 9916327</t>
  </si>
  <si>
    <t>Mr. Sumit Malhotra</t>
  </si>
  <si>
    <t>050 - 5834801</t>
  </si>
  <si>
    <t>Ms. Mamta Rajpal Sharma</t>
  </si>
  <si>
    <t>Approved By:</t>
  </si>
  <si>
    <t>054 - 5817168</t>
  </si>
  <si>
    <t>050 - 8072099</t>
  </si>
  <si>
    <t>Ms. Rita Vincent</t>
  </si>
  <si>
    <t>050 - 7486099</t>
  </si>
  <si>
    <t>Ms. Sona Jacob</t>
  </si>
  <si>
    <t>056 - 5089106</t>
  </si>
  <si>
    <t>Ms. Sreelakshmy Mohandas</t>
  </si>
  <si>
    <t>050 - 6168127</t>
  </si>
  <si>
    <t>Mr. Deepak Rana</t>
  </si>
  <si>
    <t>056 - 3898800</t>
  </si>
  <si>
    <t>056 - 5069440</t>
  </si>
  <si>
    <t>Ms. Hansani Hettegi</t>
  </si>
  <si>
    <t>050 - 4024688</t>
  </si>
  <si>
    <t>Checked By:</t>
  </si>
  <si>
    <t>050 - 5956629</t>
  </si>
  <si>
    <t>Ms. Archana Maridurai</t>
  </si>
  <si>
    <t>Ms. Thanzil  / Mr. Jestin</t>
  </si>
  <si>
    <t>050 - 6147455</t>
  </si>
  <si>
    <t>Mr. Ali Abdelhamid Zakaria Mohamed</t>
  </si>
  <si>
    <t>050 - 8871385</t>
  </si>
  <si>
    <t>Mr. Abdul Anfhas</t>
  </si>
  <si>
    <t>054 - 5820965</t>
  </si>
  <si>
    <t>Ms. Fatima Leena Dsouza</t>
  </si>
  <si>
    <t>056 - 4039568</t>
  </si>
  <si>
    <t>Mr. Zahid Hussain</t>
  </si>
  <si>
    <t>050 - 4387831</t>
  </si>
  <si>
    <t>Mr. Diljith Rajan</t>
  </si>
  <si>
    <t>050 - 4387951</t>
  </si>
  <si>
    <t>Mr. Shakeel Ahamed Abdul Rahim</t>
  </si>
  <si>
    <t>050 - 2209504</t>
  </si>
  <si>
    <t>Mr. Raza Ali - logistic</t>
  </si>
  <si>
    <t>Prepared By:</t>
  </si>
  <si>
    <t>058 - 1093603</t>
  </si>
  <si>
    <t>Rosabelle Tolores</t>
  </si>
  <si>
    <t>050 - 7529099</t>
  </si>
  <si>
    <t>Mr. Vishwanath Subramanian</t>
  </si>
  <si>
    <t>052 - 6071303</t>
  </si>
  <si>
    <t>Mr. Vinod Kumar Kutty (IT dept)</t>
  </si>
  <si>
    <t>050 - 6478022</t>
  </si>
  <si>
    <t>056 - 5086712</t>
  </si>
  <si>
    <t>Mr. Jithin M S</t>
  </si>
  <si>
    <t>056 - 5086703</t>
  </si>
  <si>
    <t>Mr. Nimesh Kavinda</t>
  </si>
  <si>
    <t xml:space="preserve">Mr. Nimesh Kavinda - IT </t>
  </si>
  <si>
    <t>056 - 9985320</t>
  </si>
  <si>
    <t>Mr. Tahir Irshad Siddiqui</t>
  </si>
  <si>
    <t>056 - 5017538</t>
  </si>
  <si>
    <t>Mr. Daniel Owino</t>
  </si>
  <si>
    <t>056 - 9916548</t>
  </si>
  <si>
    <t>Mr. Isuru Imeshaka</t>
  </si>
  <si>
    <t>050 - 4388219</t>
  </si>
  <si>
    <t>Ms. Soumya Anotony</t>
  </si>
  <si>
    <t>055 - 7559124</t>
  </si>
  <si>
    <t>Mr. Rahul VR (it dept)</t>
  </si>
  <si>
    <t>050 - 4026329</t>
  </si>
  <si>
    <t>Mr. Bishal Khatri</t>
  </si>
  <si>
    <t>050 - 1228795</t>
  </si>
  <si>
    <t>Mr. Ali Aseifouri</t>
  </si>
  <si>
    <t>056 - 4150487</t>
  </si>
  <si>
    <t xml:space="preserve">Mr. Jeroom Adel Ayad Sharobiem </t>
  </si>
  <si>
    <t>050 - 1457987</t>
  </si>
  <si>
    <t>Mr. Muhammed Shafeek</t>
  </si>
  <si>
    <t>050 - 2209529</t>
  </si>
  <si>
    <t>Mr. Vigneshwar Malli Segar - IT</t>
  </si>
  <si>
    <t>050 - 7099378</t>
  </si>
  <si>
    <t>Mr. Shoaib Abdul Jabbar - IT</t>
  </si>
  <si>
    <t>056 - 5006139</t>
  </si>
  <si>
    <t>Mr. Ahmad Mkhlalati</t>
  </si>
  <si>
    <t>Neweast Whatsapp Dedicated 1</t>
  </si>
  <si>
    <t>800 - 6393278</t>
  </si>
  <si>
    <t>Toll Free</t>
  </si>
  <si>
    <t>056 - 9915835</t>
  </si>
  <si>
    <t>IT ASSET 1 (Testing Bitrix)</t>
  </si>
  <si>
    <t>056 - 4127703</t>
  </si>
  <si>
    <t>IT Number for Testing</t>
  </si>
  <si>
    <t>050 - 6202893</t>
  </si>
  <si>
    <t>IT ASSET 2 (Testing Bitrix)</t>
  </si>
  <si>
    <t>056 - 5006185</t>
  </si>
  <si>
    <t>Mr. Alaa Mohamed Galal Ibrahim Elsayed</t>
  </si>
  <si>
    <t>Mr. Marwan Mneimeh - Logistic Manager</t>
  </si>
  <si>
    <t>050 - 6017688</t>
  </si>
  <si>
    <t>Logistic Department</t>
  </si>
  <si>
    <t>050 - 1086588</t>
  </si>
  <si>
    <t>056 - 5062856</t>
  </si>
  <si>
    <t>Mr. Jebin Koshy</t>
  </si>
  <si>
    <t>052 - 5391860</t>
  </si>
  <si>
    <t>Mr. Raneez Rasheed - old</t>
  </si>
  <si>
    <t>050 - 5743480</t>
  </si>
  <si>
    <t>Mr. Dhanush Kiran</t>
  </si>
  <si>
    <t>050 - 2810426</t>
  </si>
  <si>
    <t>Mr.Gurjant Singh - transport</t>
  </si>
  <si>
    <t>052 - 3570142</t>
  </si>
  <si>
    <t>Mr. Mohamad Firas Al Malt</t>
  </si>
  <si>
    <t>052 - 3570182</t>
  </si>
  <si>
    <t>Mr. Muhammad Imran (Technician)</t>
  </si>
  <si>
    <t>Mr. Mehmood Khan</t>
  </si>
  <si>
    <t>056 - 5062941</t>
  </si>
  <si>
    <t>Mr. Shermat Ullah (Maintenance)</t>
  </si>
  <si>
    <t xml:space="preserve">050 - 5956425 </t>
  </si>
  <si>
    <t>Ms. Sawsan Attia Rashad Hussein</t>
  </si>
  <si>
    <t>056 - 6613655</t>
  </si>
  <si>
    <t>056 - 4127737</t>
  </si>
  <si>
    <t>Marketing Deparment A</t>
  </si>
  <si>
    <t>050 - 8871487</t>
  </si>
  <si>
    <t>Marketing Deparment B</t>
  </si>
  <si>
    <t>050 - 2667957</t>
  </si>
  <si>
    <t>Ms. Maryam Abdulla Ibrahim Mohamed Almarzooqi</t>
  </si>
  <si>
    <t>050 - 9847099</t>
  </si>
  <si>
    <t xml:space="preserve">Mr. Mohamad Mikari </t>
  </si>
  <si>
    <t>050 - 1225746</t>
  </si>
  <si>
    <t>Mr. Thembelani Michael Puwana - old sim</t>
  </si>
  <si>
    <t>050 - 6691638</t>
  </si>
  <si>
    <t>Mr. Thembelani Michael Puwana</t>
  </si>
  <si>
    <t>052 - 5725512</t>
  </si>
  <si>
    <t>Mr. Mohamed Habiballa</t>
  </si>
  <si>
    <t>056 - 4339451</t>
  </si>
  <si>
    <t>Mr. Karam Abukhazneh</t>
  </si>
  <si>
    <t>054 - 9980158</t>
  </si>
  <si>
    <t xml:space="preserve">Mr. Afreen Mohammed </t>
  </si>
  <si>
    <t>056 - 5069451</t>
  </si>
  <si>
    <t>Mr. Rahul Ravichandran</t>
  </si>
  <si>
    <t>050 - 5428497</t>
  </si>
  <si>
    <t>Mr. Emad Nagy</t>
  </si>
  <si>
    <t>050 - 5836671</t>
  </si>
  <si>
    <t>Mr. Mohammad Elsayed</t>
  </si>
  <si>
    <t>050 - 6145117</t>
  </si>
  <si>
    <t>Mr. Ahmad Abdul Karim Fahed Alfahmawi</t>
  </si>
  <si>
    <t>050 - 5491527</t>
  </si>
  <si>
    <t>Mr. Mohamed Aasir Jahangeer</t>
  </si>
  <si>
    <t>050 - 6168250</t>
  </si>
  <si>
    <t>Mr. Mohamed Rifayathulla</t>
  </si>
  <si>
    <t>050 - 6168269</t>
  </si>
  <si>
    <t>Purchase Department Group SIM</t>
  </si>
  <si>
    <t>056 - 4339504</t>
  </si>
  <si>
    <t>Mr. Ali Al Sharra</t>
  </si>
  <si>
    <t>Ms. Thanzil  / Mr. Romy / Mr. Jestin</t>
  </si>
  <si>
    <t>056 - 9986243</t>
  </si>
  <si>
    <t>Mr. Nantha Kumar Veeraraghavan</t>
  </si>
  <si>
    <t>056 - 5062928</t>
  </si>
  <si>
    <t>Mr. Prabu Ramani</t>
  </si>
  <si>
    <t>056 - 4338724</t>
  </si>
  <si>
    <t>056 - 5455277</t>
  </si>
  <si>
    <t>Mr. Tadashi  Yamashita</t>
  </si>
  <si>
    <t>054 - 9980169</t>
  </si>
  <si>
    <t>055 - 2833271</t>
  </si>
  <si>
    <t xml:space="preserve">Mr. Malak Shaker </t>
  </si>
  <si>
    <t>052 - 5751327</t>
  </si>
  <si>
    <t>056 - 4339450</t>
  </si>
  <si>
    <t>Mr. Joseph Hanna</t>
  </si>
  <si>
    <t>055 - 2833466</t>
  </si>
  <si>
    <t>Mr. CB Ajith</t>
  </si>
  <si>
    <t>056 - 5229915</t>
  </si>
  <si>
    <t>Mr. Praveen Periyadan Balakrishnan</t>
  </si>
  <si>
    <t>056 - 5269808</t>
  </si>
  <si>
    <t>052 - 5725562</t>
  </si>
  <si>
    <t>Mr. Benny Joseph</t>
  </si>
  <si>
    <t>050 - 8746099</t>
  </si>
  <si>
    <t>Mr. Abderrahman Elfatehy</t>
  </si>
  <si>
    <t>056 - 1889499</t>
  </si>
  <si>
    <t>056 - 4039569</t>
  </si>
  <si>
    <t>Mr. Achraf Moumal</t>
  </si>
  <si>
    <t>Mr. Mohd Aqil Siddiqui</t>
  </si>
  <si>
    <t>050 - 5954671</t>
  </si>
  <si>
    <t>Mr. Samir Ibrahim Mohammed Abu Asbe</t>
  </si>
  <si>
    <t>056 - 9916231</t>
  </si>
  <si>
    <t>Mr. Ramy Tanios</t>
  </si>
  <si>
    <t>Mr. Maxim Yurchuk</t>
  </si>
  <si>
    <t>050 - 6145304</t>
  </si>
  <si>
    <t>Ms. Thanaa Omer Alawad Gendeel</t>
  </si>
  <si>
    <t>Mr. Mohamed Camara</t>
  </si>
  <si>
    <t>052 - 6414366</t>
  </si>
  <si>
    <t>Mr. Rashid Abdulla Mohamed</t>
  </si>
  <si>
    <t>050 - 2209528</t>
  </si>
  <si>
    <t>Mr. Josiah Paulraj - SALES</t>
  </si>
  <si>
    <t>050 - 2209536</t>
  </si>
  <si>
    <t>Mr. Riad Mohamed Rafik</t>
  </si>
  <si>
    <t>050 - 2670969</t>
  </si>
  <si>
    <t>Mr. Johnny Aslanian</t>
  </si>
  <si>
    <t>050 - 2670952</t>
  </si>
  <si>
    <t>Mr. Mohamed Nadeem Yousuf</t>
  </si>
  <si>
    <t>050 - 2667919</t>
  </si>
  <si>
    <t>Mr. Ahmed Fahir</t>
  </si>
  <si>
    <t>050 - 2661097</t>
  </si>
  <si>
    <t>Mr. Mohamed Gazzaly</t>
  </si>
  <si>
    <t>Mr. Gurvinder Singh</t>
  </si>
  <si>
    <t>Mr. Ahmed Badshah old sim of Mr. Shamjeer</t>
  </si>
  <si>
    <t>050 - 6454407</t>
  </si>
  <si>
    <t>Mr. Ahmed Badshah Kambogi  (TRANSPORT)</t>
  </si>
  <si>
    <t>050 - 2507314</t>
  </si>
  <si>
    <t>Mr. Zubair Tahir - Transport</t>
  </si>
  <si>
    <t>050 - 8994607</t>
  </si>
  <si>
    <t>Mr. Rajesh Parambath (driver)</t>
  </si>
  <si>
    <t>050 - 4056288</t>
  </si>
  <si>
    <t>055 - 5368719</t>
  </si>
  <si>
    <t>050 - 4207288</t>
  </si>
  <si>
    <t>050 - 6624802</t>
  </si>
  <si>
    <t>Mr. Jafferkhan Yakoob (driver)</t>
  </si>
  <si>
    <t>050 - 5173288</t>
  </si>
  <si>
    <t>Mr. Manroop Singh</t>
  </si>
  <si>
    <t>054 - 9908156</t>
  </si>
  <si>
    <t>Scanner Number - c/o Mr. Nazeer (driver)</t>
  </si>
  <si>
    <t>050 - 9148099</t>
  </si>
  <si>
    <t>Mr. Jayakumar y (driver)</t>
  </si>
  <si>
    <t>050 - 4195188</t>
  </si>
  <si>
    <t>050 - 1438288</t>
  </si>
  <si>
    <t>050 - 2698427</t>
  </si>
  <si>
    <t>Mr. Suvarajbal Balakrishnan (driver)</t>
  </si>
  <si>
    <t>050 - 4053088</t>
  </si>
  <si>
    <t>Mr. Noras  (driver)</t>
  </si>
  <si>
    <t>054 - 9908157</t>
  </si>
  <si>
    <t>Mr. Sharrif Ullah (driver)</t>
  </si>
  <si>
    <t>Mr. Muhamed Rashid</t>
  </si>
  <si>
    <t>056 - 9095291</t>
  </si>
  <si>
    <t>Mr. Haneefa Pockakkillath Kunhimon</t>
  </si>
  <si>
    <t>056 - 9086534</t>
  </si>
  <si>
    <t>Mr. Alfred Nyantakyi Boamah - transport</t>
  </si>
  <si>
    <t>050 - 2730193</t>
  </si>
  <si>
    <t>Mr. Sabeel Ahmed</t>
  </si>
  <si>
    <t>050 - 2730291</t>
  </si>
  <si>
    <t>Mr. Sagar Singh</t>
  </si>
  <si>
    <t>050 - 7543619</t>
  </si>
  <si>
    <t>Mr. Sreekumar Purathoot</t>
  </si>
  <si>
    <t>050 - 4061099</t>
  </si>
  <si>
    <t>Transport  Team</t>
  </si>
  <si>
    <t>056 - 1914491</t>
  </si>
  <si>
    <t>Transport POD 2</t>
  </si>
  <si>
    <t>Transport POD Data Sim</t>
  </si>
  <si>
    <t>050 - 4388019</t>
  </si>
  <si>
    <t>Transport department - Temp for POD1</t>
  </si>
  <si>
    <t>050 - 4406425</t>
  </si>
  <si>
    <t>Transport department - Temp for POD2</t>
  </si>
  <si>
    <t>050 - 5992257</t>
  </si>
  <si>
    <t>Transport 1</t>
  </si>
  <si>
    <t>050 - 7542676</t>
  </si>
  <si>
    <t>Transport 1A</t>
  </si>
  <si>
    <t>050 - 7542806</t>
  </si>
  <si>
    <t>Transport 1B</t>
  </si>
  <si>
    <t>056 - 9963873</t>
  </si>
  <si>
    <t>Mr. Tigran Davytan</t>
  </si>
  <si>
    <t>052 - 8997869</t>
  </si>
  <si>
    <t>Mr. Shaifudheen Sainudeen</t>
  </si>
  <si>
    <t>056 - 5006171</t>
  </si>
  <si>
    <t>Ms. Maybelin Falcasantos</t>
  </si>
  <si>
    <t>050 - 8754687</t>
  </si>
  <si>
    <t>Mr. Sohail  Akthar</t>
  </si>
  <si>
    <t>056 - 4097266</t>
  </si>
  <si>
    <t xml:space="preserve">Mr. Raghunath Rowlo </t>
  </si>
  <si>
    <t>056 - 4105157</t>
  </si>
  <si>
    <t>Mr. Ubaiyu Issah</t>
  </si>
  <si>
    <t>056 - 9963872</t>
  </si>
  <si>
    <t>Mr. Sandeep Kumar</t>
  </si>
  <si>
    <t>058 - 6924360</t>
  </si>
  <si>
    <t>Mr. Suleman Shehzad</t>
  </si>
  <si>
    <t>056 - 4105153</t>
  </si>
  <si>
    <t>050 - 1224612</t>
  </si>
  <si>
    <t>Mr. Emmanuel Ampiah</t>
  </si>
  <si>
    <t>050 - 8754895</t>
  </si>
  <si>
    <t>056 - 5028154</t>
  </si>
  <si>
    <t>Mr. Malik Muhammed Shajahan</t>
  </si>
  <si>
    <t>050 - 2730114</t>
  </si>
  <si>
    <t>Mr. Aadhil Dawood Batcha</t>
  </si>
  <si>
    <t>Mr. Sahul Hameed Labbai Abdul Munaff</t>
  </si>
  <si>
    <t>050 - 1456486</t>
  </si>
  <si>
    <t>Mr. Syed Atiq Ahmed</t>
  </si>
  <si>
    <t>Mr. Waqas Rafique</t>
  </si>
  <si>
    <t>054 - 3079905</t>
  </si>
  <si>
    <t>Warehouse Multi Sim 1</t>
  </si>
  <si>
    <t>054 - 3079907</t>
  </si>
  <si>
    <t>Warehouse Multi Sim 2</t>
  </si>
  <si>
    <t>SUB TOTAL</t>
  </si>
  <si>
    <t>BANIYAS ACCOUNTS</t>
  </si>
  <si>
    <t>055 - 5113433</t>
  </si>
  <si>
    <t>055 - 5815183</t>
  </si>
  <si>
    <t>056 - 6038013</t>
  </si>
  <si>
    <t>Ms. Alina Badi</t>
  </si>
  <si>
    <t>056 - 6613646</t>
  </si>
  <si>
    <t>050 - 8871086</t>
  </si>
  <si>
    <t>Ms. Nargas Gulnaz</t>
  </si>
  <si>
    <t>055 - 9787936</t>
  </si>
  <si>
    <t>Mr. Prashanth Nair</t>
  </si>
  <si>
    <t>056 - 5067482</t>
  </si>
  <si>
    <t>Mr. Vishnu Mahendran</t>
  </si>
  <si>
    <t>056 - 4039571</t>
  </si>
  <si>
    <t xml:space="preserve">Mr. Rizwan Rajab </t>
  </si>
  <si>
    <t>050 - 5698388</t>
  </si>
  <si>
    <t>Mr. Pramod Mathew</t>
  </si>
  <si>
    <t>056 - 4160041</t>
  </si>
  <si>
    <t>050 - 7986099</t>
  </si>
  <si>
    <t>050 - 4847099</t>
  </si>
  <si>
    <t>056 - 5099848</t>
  </si>
  <si>
    <t>Ms. Salma Sadik</t>
  </si>
  <si>
    <t>050 - 5286099</t>
  </si>
  <si>
    <t>052 - 9931169</t>
  </si>
  <si>
    <t>Mr. Mohammad Rahim Sulimani</t>
  </si>
  <si>
    <t>055 - 1088525</t>
  </si>
  <si>
    <t>Mr. Mhd Khaled Al Nashef</t>
  </si>
  <si>
    <t>056 - 5358513</t>
  </si>
  <si>
    <t>Mr. Kalyan Kumar</t>
  </si>
  <si>
    <t>052 - 6714270</t>
  </si>
  <si>
    <t>Mr. Moazzam Nasir 2 - old sim of Mr. Sulfi</t>
  </si>
  <si>
    <t>056 - 9986246</t>
  </si>
  <si>
    <t>Mr. Moazzam Nasir Bijle</t>
  </si>
  <si>
    <t>055 - 5746027</t>
  </si>
  <si>
    <t>Mr. Sunil Suresh</t>
  </si>
  <si>
    <t>052 - 9600424</t>
  </si>
  <si>
    <t>050 - 6384099</t>
  </si>
  <si>
    <t>056 - 5069317</t>
  </si>
  <si>
    <t>Mr. Muhammed Ribash</t>
  </si>
  <si>
    <t>055 - 5961334</t>
  </si>
  <si>
    <t>056 - 9914431</t>
  </si>
  <si>
    <t>050 - 5428129</t>
  </si>
  <si>
    <t>050 - 7100425</t>
  </si>
  <si>
    <t>Mr. Shybin Baby</t>
  </si>
  <si>
    <t>050 - 5490832</t>
  </si>
  <si>
    <t>Mr. Muzammil Muhammed</t>
  </si>
  <si>
    <t>055 - 9412357</t>
  </si>
  <si>
    <t>Mr. Aboosalih Yusuf</t>
  </si>
  <si>
    <t>050 - 7099618</t>
  </si>
  <si>
    <t>Mr. Muhammed Arif Kakkam Veetil</t>
  </si>
  <si>
    <t>Mr. Jabir Kurunchoor Sulaiman</t>
  </si>
  <si>
    <t>052 - 2870070</t>
  </si>
  <si>
    <t>052 - 2865585</t>
  </si>
  <si>
    <t>052 - 2861162</t>
  </si>
  <si>
    <t>055 - 2833427</t>
  </si>
  <si>
    <t>050 - 5428072</t>
  </si>
  <si>
    <t>Ms. Sruthy Sudharman</t>
  </si>
  <si>
    <t>050 - 5492739</t>
  </si>
  <si>
    <t>Mr. Siby Joseph</t>
  </si>
  <si>
    <t>050 - 5494073</t>
  </si>
  <si>
    <t>Mr. Nikhil Raj</t>
  </si>
  <si>
    <t>050 - 5495042</t>
  </si>
  <si>
    <t>Mr. Innocent Saviour</t>
  </si>
  <si>
    <t>Mr. Robert Ateo</t>
  </si>
  <si>
    <t>Ms. Florencia Fernandes</t>
  </si>
  <si>
    <t>Mr. Aftab Shokat Hussain</t>
  </si>
  <si>
    <t>Mr. Rajan  Kalla Veettil</t>
  </si>
  <si>
    <t>Mr. Abdur Rahman  Ghani</t>
  </si>
  <si>
    <t>Mr. Babar  Hussain</t>
  </si>
  <si>
    <t>Mr. Ajimon Kochuveettil Manikurian</t>
  </si>
  <si>
    <t>Mr. Libin Paul</t>
  </si>
  <si>
    <t>056 - 9916290</t>
  </si>
  <si>
    <t>Mr. Rajaram Mohan</t>
  </si>
  <si>
    <t>050 - 5743530</t>
  </si>
  <si>
    <t>Mr. Shazeen Salman</t>
  </si>
  <si>
    <t>050 - 5743679</t>
  </si>
  <si>
    <t>Mr. Santhosh Varghese</t>
  </si>
  <si>
    <t>050 - 5743718</t>
  </si>
  <si>
    <t>Mr. Anson Veliyil Mathews</t>
  </si>
  <si>
    <t>050 - 6202904</t>
  </si>
  <si>
    <t>Ms. Marymma Sebastian</t>
  </si>
  <si>
    <t>050 - 5834795</t>
  </si>
  <si>
    <t>Mr. Seby George</t>
  </si>
  <si>
    <t>050 - 5834796</t>
  </si>
  <si>
    <t>Mr. Sanush Machalil</t>
  </si>
  <si>
    <t>050 - 5836609</t>
  </si>
  <si>
    <t>Mr. Salu Sasidharan</t>
  </si>
  <si>
    <t>050 - 7543642</t>
  </si>
  <si>
    <t>Mr. Mohammad Safnas</t>
  </si>
  <si>
    <t>900105302498</t>
  </si>
  <si>
    <t>Careplus</t>
  </si>
  <si>
    <t>900105294988</t>
  </si>
  <si>
    <t>BI - OTP</t>
  </si>
  <si>
    <t>056 - 4127791</t>
  </si>
  <si>
    <t>Mr. Abdul Jabbar Mohammed</t>
  </si>
  <si>
    <t>056 - 4150481</t>
  </si>
  <si>
    <t xml:space="preserve">Mr. Saravanan Srinivasan </t>
  </si>
  <si>
    <t>056 - 4127728</t>
  </si>
  <si>
    <t>Mr. Ayoob Pulikkadan</t>
  </si>
  <si>
    <t>056 - 6037958</t>
  </si>
  <si>
    <t>Ms. Ingonjang Elsie Mengdjo</t>
  </si>
  <si>
    <t>056 - 6037963</t>
  </si>
  <si>
    <t>Mr. Aakash Mundeppatt Sudheer</t>
  </si>
  <si>
    <t>056 - 6038096</t>
  </si>
  <si>
    <t>Ms. Eveline Ngantcha Ntankwa</t>
  </si>
  <si>
    <t>050 - 6691607</t>
  </si>
  <si>
    <t>Mr. Ajmal Abbas</t>
  </si>
  <si>
    <t>050 - 6691584</t>
  </si>
  <si>
    <t>Ms. Rajitha Kallurutty Parambil</t>
  </si>
  <si>
    <t>050 - 6691529</t>
  </si>
  <si>
    <t>Mr. Faruk Hossain (WH Supervisor_</t>
  </si>
  <si>
    <t>050 - 6690862</t>
  </si>
  <si>
    <t>Mr. Vishnu Vijayan</t>
  </si>
  <si>
    <t>050 - 1458074</t>
  </si>
  <si>
    <t>Mr. Mohamed Hussein Soliman</t>
  </si>
  <si>
    <t>050 - 1457622</t>
  </si>
  <si>
    <t>Mr. Meera Muftah Salem Suwaidan Almeqbaali</t>
  </si>
  <si>
    <t>050 - 1457563</t>
  </si>
  <si>
    <t>Mr. Mouza Muftah Salem</t>
  </si>
  <si>
    <t>050 - 1229140</t>
  </si>
  <si>
    <t>Mr. Missa Ibrahima</t>
  </si>
  <si>
    <t>050 - 1228456</t>
  </si>
  <si>
    <t>Mr. Fouad Ashraf Fouad Aly Hassan</t>
  </si>
  <si>
    <t>050 - 1228336</t>
  </si>
  <si>
    <t>Mr. Munawar</t>
  </si>
  <si>
    <t>050 - 1227866</t>
  </si>
  <si>
    <t>Mr. Anfil Anthuparambil Abbas</t>
  </si>
  <si>
    <t>050 - 4403835</t>
  </si>
  <si>
    <t>Mr. Ahmad Taleb Dehdar</t>
  </si>
  <si>
    <t>050 - 6168198</t>
  </si>
  <si>
    <t>Ms. Navami Balachandran</t>
  </si>
  <si>
    <t>050 - 6202914</t>
  </si>
  <si>
    <t>Ms. Clara Tawfiq Bassil</t>
  </si>
  <si>
    <t>Mr. Mohamed Reda Sabra</t>
  </si>
  <si>
    <t>056 - 4142530</t>
  </si>
  <si>
    <t>Mr. Sajjad Ali</t>
  </si>
  <si>
    <t>050 - 4036988</t>
  </si>
  <si>
    <t>Mr. Seth Agyakwa</t>
  </si>
  <si>
    <t>050 - 6168179</t>
  </si>
  <si>
    <t>Mr. Ankith Thattiot</t>
  </si>
  <si>
    <t xml:space="preserve">050 - 5956428 </t>
  </si>
  <si>
    <t>Mr. Kwaku Abbam Baah</t>
  </si>
  <si>
    <t>050 - 5743597</t>
  </si>
  <si>
    <t>Mr. Akhnaz Parambath</t>
  </si>
  <si>
    <t xml:space="preserve"> </t>
  </si>
  <si>
    <t>Date of payment : 05 JANUARY 2026</t>
  </si>
  <si>
    <t>JANUARY 2026</t>
  </si>
  <si>
    <t>FZCO</t>
  </si>
  <si>
    <t>050 - 4351812</t>
  </si>
  <si>
    <t>Mr. Jehad Al Bitar - Audit</t>
  </si>
  <si>
    <t>050 - 4108142</t>
  </si>
  <si>
    <t>Mr. Shameer Nalu Purappattil</t>
  </si>
  <si>
    <t>salary deduction</t>
  </si>
  <si>
    <t>050 - 4108239</t>
  </si>
  <si>
    <t>Mr. Alfie Galupan Braganza</t>
  </si>
  <si>
    <t>050 - 4108153</t>
  </si>
  <si>
    <t>Mr. Mohamed Abdelrahman Abdelaty Younes</t>
  </si>
  <si>
    <t>cash payment/ deduction</t>
  </si>
  <si>
    <t>Mr. Sherouk Sabry - Marketing</t>
  </si>
  <si>
    <t>Mr. Vincent Danthis</t>
  </si>
  <si>
    <t>Mr. Ramees Latheef</t>
  </si>
  <si>
    <t>Export Team - Logistic</t>
  </si>
  <si>
    <t>Mr. Yassir Fechtaoui</t>
  </si>
  <si>
    <t>Mr. Mohamed Hussein Soliman - Marketing</t>
  </si>
  <si>
    <t>050 - 5956425</t>
  </si>
  <si>
    <t xml:space="preserve">Mr. Thembelani Michael Puwana </t>
  </si>
  <si>
    <t>Ms. Gretchen Beloso Castillo</t>
  </si>
  <si>
    <t>Mr. Mohammed Farooq - Demand Planner</t>
  </si>
  <si>
    <t>Mr. Mohamed Magdy - Planning</t>
  </si>
  <si>
    <t>KSA Calls</t>
  </si>
  <si>
    <t>Mr. Javad Hodaei</t>
  </si>
  <si>
    <t>Transport - for OTP</t>
  </si>
  <si>
    <t>Mr. Raja Jeyakumar (driver)</t>
  </si>
  <si>
    <t>Mr. Munawar - Transport</t>
  </si>
  <si>
    <t>Mr. Anfil Anthuparambil Abbas  - transport</t>
  </si>
  <si>
    <t>Mr. Muhamed Rashid - Logistic</t>
  </si>
  <si>
    <t>Mr. Binod Prasad Subedi</t>
  </si>
  <si>
    <t>Mr. Faruk Hossain (WH Supervisor)</t>
  </si>
  <si>
    <t>Mr. Prasad Rudra</t>
  </si>
  <si>
    <t>050 - 2546759</t>
  </si>
  <si>
    <t>Mr. Puran Kumar Kandel</t>
  </si>
  <si>
    <t>050 - 4108204</t>
  </si>
  <si>
    <t>Mr. Bashar Khalil</t>
  </si>
  <si>
    <t>050 - 4108223</t>
  </si>
  <si>
    <t>Mr. Tharun Kumar Elikatt</t>
  </si>
  <si>
    <t>no confirmation</t>
  </si>
  <si>
    <t>050 - 4375680</t>
  </si>
  <si>
    <t>Ms.Catherine Fred Mwaisaka</t>
  </si>
  <si>
    <t>050 - 4108569</t>
  </si>
  <si>
    <t>Mr. Swaminathan, Sivasubramanian</t>
  </si>
  <si>
    <t>Mr. ALI JALALUDEEN</t>
  </si>
  <si>
    <t>Mr. Afsal Shaji</t>
  </si>
  <si>
    <t>050 - 2547509</t>
  </si>
  <si>
    <t>Mr. Melvin Joseph</t>
  </si>
  <si>
    <t>Mr. Abrar Hussain(FM)</t>
  </si>
  <si>
    <t>cash payment - for Mr. Aziz</t>
  </si>
  <si>
    <t>056 - 6889119</t>
  </si>
  <si>
    <t>Mr. Abdulrahman Alhlwani</t>
  </si>
  <si>
    <t>056 - 4140516</t>
  </si>
  <si>
    <t>Mr. Mourad Sebaie</t>
  </si>
  <si>
    <t>056 - 1529367</t>
  </si>
  <si>
    <t>Mr. Sohail Ahmad - driver</t>
  </si>
  <si>
    <t>056 - 1412647</t>
  </si>
  <si>
    <t>Mr. Mohamed Mohsen</t>
  </si>
  <si>
    <t>056 - 1502667</t>
  </si>
  <si>
    <t>Mr. Jad Sakour</t>
  </si>
  <si>
    <t>056 - 1203934</t>
  </si>
  <si>
    <t>Mr. Adithyan Chandroth</t>
  </si>
  <si>
    <t>056 - 2642563</t>
  </si>
  <si>
    <t>Mr. Amer Abou Alfadel</t>
  </si>
  <si>
    <t>056 - 2660311</t>
  </si>
  <si>
    <t>Mr. Ajeesh Pazhuparambil Asokan</t>
  </si>
  <si>
    <t>056 - 6392487</t>
  </si>
  <si>
    <t>Mr. Zaid Mohammad Ibrahim</t>
  </si>
  <si>
    <t>056 - 8054326</t>
  </si>
  <si>
    <t>New sim 02</t>
  </si>
  <si>
    <t>056  - 8432685</t>
  </si>
  <si>
    <t>New sim 03</t>
  </si>
  <si>
    <t>056 - 8946286</t>
  </si>
  <si>
    <t>New sim 04</t>
  </si>
  <si>
    <t>056  - 7759819</t>
  </si>
  <si>
    <t>New sim 05</t>
  </si>
  <si>
    <t>056 - 9472119</t>
  </si>
  <si>
    <t>New sim 06</t>
  </si>
  <si>
    <t>056 - 8189215</t>
  </si>
  <si>
    <t>Mr. Fahim Kutbuddin Parkar</t>
  </si>
  <si>
    <t>056 - 8067063</t>
  </si>
  <si>
    <t>New sim 08</t>
  </si>
  <si>
    <t>056 - 7459101</t>
  </si>
  <si>
    <t>Mr. Karuppusamy Subramaniyan</t>
  </si>
  <si>
    <t>056 - 8787141</t>
  </si>
  <si>
    <t>Mr. Jakshan</t>
  </si>
  <si>
    <t>056 - 8243446</t>
  </si>
  <si>
    <t>Mr. Rajith Pankanpurakkal Ravindran</t>
  </si>
  <si>
    <t>LLC</t>
  </si>
  <si>
    <t>Mr. Moazzam Nasir 2 - old sim of Mr. Sulfi currently with mr. kalyan</t>
  </si>
  <si>
    <t>Mr. Moazzam Nasir Bijle - SEND TO MR. JOSEPH</t>
  </si>
  <si>
    <t>Mr. Mohammad Safnas - Marketing</t>
  </si>
  <si>
    <t>Mr. Malik Aamir Hussain</t>
  </si>
  <si>
    <t>Mr. Ahmad Taleb Dehdar - CS</t>
  </si>
  <si>
    <t>Mr. Mohamed Farook Fahir - finance</t>
  </si>
  <si>
    <t>Date of payment :</t>
  </si>
  <si>
    <t>FEBRUARY 2026</t>
  </si>
  <si>
    <t>Mr. Muhammad Umair</t>
  </si>
  <si>
    <t>Mr. Malik /MS. Elsie</t>
  </si>
  <si>
    <t>Mr. Ali Jalaludeen</t>
  </si>
  <si>
    <t>Mr. Patrick Salim</t>
  </si>
  <si>
    <t>Mr. Abhiram Kunhiraman</t>
  </si>
  <si>
    <t>Mr. Mohammed Ameen</t>
  </si>
  <si>
    <t>Mr. Seif Eddine Bouabdallah</t>
  </si>
  <si>
    <t>New sim 07</t>
  </si>
  <si>
    <t>New sim 09</t>
  </si>
  <si>
    <t>056 - 4122865</t>
  </si>
  <si>
    <t>Mr.Mohamed Ezzat</t>
  </si>
  <si>
    <t>056 - 4123128</t>
  </si>
  <si>
    <t>056 - 4123975</t>
  </si>
  <si>
    <t>Mr. Elliot Inkoom</t>
  </si>
  <si>
    <t>056 - 4123215</t>
  </si>
  <si>
    <t>056 - 3989874</t>
  </si>
  <si>
    <t>MARCH 2026</t>
  </si>
  <si>
    <t>Mr. Dileep Kumar Patel</t>
  </si>
  <si>
    <t>Mr. Khaled Abdelghany</t>
  </si>
  <si>
    <t>Mr. Mohammed Ameen - IT ASSET</t>
  </si>
  <si>
    <t>HSE Number</t>
  </si>
  <si>
    <t>Mr. Abhiram - IT ASSET</t>
  </si>
  <si>
    <t>056 - 5229332</t>
  </si>
  <si>
    <t>Mr. Tushar Balkrishna Karajgi</t>
  </si>
  <si>
    <t>056 - 5252677</t>
  </si>
  <si>
    <t>Mr. Marwan Salman</t>
  </si>
  <si>
    <t>056 - 5252678</t>
  </si>
  <si>
    <t>Mr. Ismail for temp with android phone</t>
  </si>
  <si>
    <t>Toll free 2</t>
  </si>
  <si>
    <t>056 - 5262432</t>
  </si>
  <si>
    <t>056 - 5262432 - IT Asset</t>
  </si>
  <si>
    <t>056 - 5252674</t>
  </si>
  <si>
    <t>056 - 5252674 - IT  Asset</t>
  </si>
  <si>
    <t>APRIL 2026</t>
  </si>
  <si>
    <t>Roaming for business trip in OMAN</t>
  </si>
  <si>
    <t>Resigned on 25 May</t>
  </si>
  <si>
    <t>Ms. Mais Alhamwi</t>
  </si>
  <si>
    <t>Business Call to Airlines</t>
  </si>
  <si>
    <t>Parking fees</t>
  </si>
  <si>
    <t>Work related</t>
  </si>
  <si>
    <t>Mr. Rajith Pankanpurakkal Ravindran A</t>
  </si>
  <si>
    <t xml:space="preserve">Transfer of ownership - New profile by 
split </t>
  </si>
  <si>
    <t>Mr. Kunal Jha</t>
  </si>
  <si>
    <t>Mr. Jakshan A</t>
  </si>
  <si>
    <t>cash payment</t>
  </si>
  <si>
    <t xml:space="preserve">Mr. Oshadh Nadeesha Wickramasinghe </t>
  </si>
  <si>
    <t>Mr. Oshadh Nadeesha Wickramasinghe B</t>
  </si>
  <si>
    <t>Mr. Gokul Krishnan Maya Gopakumar</t>
  </si>
  <si>
    <t>Mr. Patrick Salim A</t>
  </si>
  <si>
    <t>business travel roaming in KSA</t>
  </si>
  <si>
    <t>054 - 5453403</t>
  </si>
  <si>
    <t>Ms. Maria Mara Laganas Doroy</t>
  </si>
  <si>
    <t xml:space="preserve">One time payment for Transfer of ownership </t>
  </si>
  <si>
    <t>New sim 04 A</t>
  </si>
  <si>
    <t>New sim 07 A</t>
  </si>
  <si>
    <t>New sim 08 A</t>
  </si>
  <si>
    <t>056 - 7759819</t>
  </si>
  <si>
    <t>New sim 10 A</t>
  </si>
  <si>
    <t>New sim 10</t>
  </si>
  <si>
    <t>054 - 4238202</t>
  </si>
  <si>
    <t>NEW C</t>
  </si>
  <si>
    <t>054 - 9964579</t>
  </si>
  <si>
    <t>NEW E</t>
  </si>
  <si>
    <t>056 - 1887519</t>
  </si>
  <si>
    <t>NEW F</t>
  </si>
  <si>
    <t>056 - 8432685</t>
  </si>
  <si>
    <t>Mr. Abhiram Kunhiraman New sim</t>
  </si>
  <si>
    <t>Mr. Abhiram Kunhiraman New sim B</t>
  </si>
  <si>
    <t>04 - 3857192</t>
  </si>
  <si>
    <t>Internet Service for New office</t>
  </si>
  <si>
    <t>Mr. Dani Kabbara</t>
  </si>
  <si>
    <t>MAY 2026</t>
  </si>
  <si>
    <t xml:space="preserve">Mr. Sivanesan Thirukumar	 </t>
  </si>
  <si>
    <t>056 - 7179764</t>
  </si>
  <si>
    <t>New sim 11</t>
  </si>
  <si>
    <t>056 - 7197443</t>
  </si>
  <si>
    <t>New sim 12</t>
  </si>
  <si>
    <t>056 - 7336792</t>
  </si>
  <si>
    <t>New sim 13</t>
  </si>
  <si>
    <t>056 - 7246180</t>
  </si>
  <si>
    <t>New sim 14</t>
  </si>
  <si>
    <t>056 - 7384245</t>
  </si>
  <si>
    <t>New sim 15</t>
  </si>
  <si>
    <t>056 - 7391003</t>
  </si>
  <si>
    <t>New sim 16</t>
  </si>
  <si>
    <t>056 - 7475206</t>
  </si>
  <si>
    <t>New sim 17</t>
  </si>
  <si>
    <t>04 - 3972319</t>
  </si>
  <si>
    <t>CHECK WITH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</si>
</sst>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AED]\ #,##0.00"/>
    <numFmt numFmtId="165" formatCode="_-[$AED]\ * #,##0.00_-;\-[$AED]\ * #,##0.00_-;_-[$AED]\ * &quot;-&quot;??_-;_-@_-"/>
    <numFmt numFmtId="166" formatCode="_([$AED]\ * #,##0.00_);_([$AED]\ * \(#,##0.00\);_([$AED]\ * &quot;-&quot;??_);_(@_)"/>
  </numFmts>
  <fonts count="52">
    <font>
      <sz val="11"/>
      <name val="Calibri"/>
      <charset val="134"/>
    </font>
    <font>
      <b/>
      <sz val="15"/>
      <name val="Calibri Light"/>
      <family val="2"/>
    </font>
    <font>
      <sz val="11"/>
      <name val="Calibri Light"/>
      <family val="2"/>
    </font>
    <font>
      <b/>
      <sz val="12"/>
      <color rgb="FFFF0000"/>
      <name val="Calibri Light"/>
      <family val="2"/>
    </font>
    <font>
      <sz val="12"/>
      <name val="Calibri Light"/>
      <family val="2"/>
    </font>
    <font>
      <b/>
      <sz val="11"/>
      <name val="Calibri Light"/>
      <family val="2"/>
    </font>
    <font>
      <b/>
      <sz val="12"/>
      <name val="Calibri Light"/>
      <family val="2"/>
    </font>
    <font>
      <b/>
      <sz val="18"/>
      <name val="Calibri Light"/>
      <family val="2"/>
    </font>
    <font>
      <b/>
      <sz val="10"/>
      <name val="Calibri Light"/>
      <family val="2"/>
    </font>
    <font>
      <b/>
      <i/>
      <sz val="11"/>
      <name val="Calibri Light"/>
      <family val="2"/>
    </font>
    <font>
      <sz val="10"/>
      <name val="Calibri Light"/>
      <family val="2"/>
    </font>
    <font>
      <sz val="12"/>
      <color theme="1"/>
      <name val="Calibri Light"/>
      <family val="2"/>
    </font>
    <font>
      <sz val="12"/>
      <color rgb="FFFF0000"/>
      <name val="Calibri Light"/>
      <family val="2"/>
    </font>
    <font>
      <b/>
      <sz val="10"/>
      <color rgb="FFFF0000"/>
      <name val="Calibri Light"/>
      <family val="2"/>
    </font>
    <font>
      <b/>
      <sz val="10"/>
      <color theme="4"/>
      <name val="Calibri Light"/>
      <family val="2"/>
    </font>
    <font>
      <sz val="10"/>
      <color rgb="FF000000"/>
      <name val="Calibri Light"/>
      <family val="2"/>
    </font>
    <font>
      <b/>
      <sz val="16"/>
      <color rgb="FFFF0000"/>
      <name val="Calibri Light"/>
      <family val="2"/>
    </font>
    <font>
      <b/>
      <sz val="11"/>
      <color rgb="FFFF0000"/>
      <name val="Calibri Light"/>
      <family val="2"/>
    </font>
    <font>
      <b/>
      <sz val="10"/>
      <color rgb="FF000000"/>
      <name val="Calibri Light"/>
      <family val="2"/>
    </font>
    <font>
      <b/>
      <sz val="9"/>
      <color rgb="FF000000"/>
      <name val="Malgun Gothic"/>
      <family val="2"/>
    </font>
    <font>
      <sz val="9"/>
      <name val="Malgun Gothic"/>
      <family val="2"/>
    </font>
    <font>
      <sz val="9"/>
      <color rgb="FF000000"/>
      <name val="Malgun Gothic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9"/>
      <name val="Tahoma"/>
      <family val="2"/>
    </font>
    <font>
      <sz val="9"/>
      <name val="Tahoma"/>
      <family val="2"/>
    </font>
    <font>
      <sz val="11"/>
      <name val="Calibri"/>
      <family val="2"/>
    </font>
    <font>
      <b/>
      <sz val="15"/>
      <color theme="1"/>
      <name val="Calibri Light"/>
      <family val="2"/>
    </font>
    <font>
      <b/>
      <sz val="11"/>
      <color theme="1"/>
      <name val="Calibri Light"/>
      <family val="2"/>
    </font>
    <font>
      <i/>
      <sz val="12"/>
      <color theme="1"/>
      <name val="Calibri Light"/>
      <family val="2"/>
    </font>
    <font>
      <b/>
      <sz val="12"/>
      <color theme="1"/>
      <name val="Calibri Light"/>
      <family val="2"/>
    </font>
    <font>
      <sz val="12"/>
      <color theme="1"/>
      <name val="Calibri Light"/>
      <family val="2"/>
      <scheme val="major"/>
    </font>
    <font>
      <sz val="10"/>
      <color theme="1"/>
      <name val="Calibri Light"/>
      <family val="2"/>
    </font>
    <font>
      <b/>
      <sz val="16"/>
      <color theme="1"/>
      <name val="Calibri Light"/>
      <family val="2"/>
    </font>
    <font>
      <sz val="11"/>
      <color theme="1"/>
      <name val="Calibri Light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FF0000"/>
      <name val="Calibri Light"/>
      <family val="2"/>
    </font>
    <font>
      <sz val="12"/>
      <color theme="0"/>
      <name val="Calibri Light"/>
      <family val="2"/>
    </font>
    <font>
      <b/>
      <sz val="12"/>
      <color rgb="FFEE0000"/>
      <name val="Calibri Light"/>
      <family val="2"/>
    </font>
    <font>
      <sz val="10"/>
      <color rgb="FFFF0000"/>
      <name val="Calibri Light"/>
      <family val="2"/>
    </font>
    <font>
      <i/>
      <sz val="11"/>
      <name val="Calibri Light"/>
      <family val="2"/>
    </font>
    <font>
      <b/>
      <sz val="9"/>
      <color theme="1"/>
      <name val="Calibri Light"/>
      <family val="2"/>
    </font>
    <font>
      <b/>
      <sz val="10"/>
      <color theme="1"/>
      <name val="Calibri Light"/>
      <family val="2"/>
    </font>
    <font>
      <sz val="11"/>
      <color theme="1"/>
      <name val="Calibri"/>
      <family val="2"/>
    </font>
    <font>
      <sz val="11"/>
      <color rgb="FF242424"/>
      <name val="Aptos Narrow"/>
      <family val="2"/>
    </font>
    <font>
      <sz val="11"/>
      <color theme="1"/>
      <name val="Calibri"/>
      <family val="2"/>
    </font>
    <font>
      <i/>
      <sz val="11"/>
      <color theme="1"/>
      <name val="Calibri Light"/>
      <family val="2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11"/>
      <color theme="1" tint="4.9989318521683403E-2"/>
      <name val="Calibri Light"/>
      <family val="2"/>
    </font>
    <font>
      <sz val="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26" fillId="0" borderId="0" applyFont="0" applyFill="0" applyBorder="0" applyAlignment="0" applyProtection="0"/>
    <xf numFmtId="43" fontId="22" fillId="0" borderId="0">
      <alignment vertical="top"/>
      <protection locked="0"/>
    </xf>
    <xf numFmtId="43" fontId="22" fillId="0" borderId="0">
      <protection locked="0"/>
    </xf>
    <xf numFmtId="0" fontId="26" fillId="0" borderId="0">
      <protection locked="0"/>
    </xf>
    <xf numFmtId="0" fontId="26" fillId="0" borderId="0">
      <alignment vertical="center"/>
    </xf>
  </cellStyleXfs>
  <cellXfs count="428">
    <xf numFmtId="0" fontId="0" fillId="0" borderId="0" xfId="0">
      <alignment vertical="center"/>
    </xf>
    <xf numFmtId="0" fontId="1" fillId="0" borderId="0" xfId="0" applyFont="1" applyAlignment="1"/>
    <xf numFmtId="0" fontId="2" fillId="2" borderId="0" xfId="0" applyFont="1" applyFill="1" applyAlignment="1"/>
    <xf numFmtId="0" fontId="3" fillId="0" borderId="0" xfId="0" applyFont="1" applyAlignment="1"/>
    <xf numFmtId="0" fontId="4" fillId="0" borderId="0" xfId="0" applyFont="1">
      <alignment vertical="center"/>
    </xf>
    <xf numFmtId="4" fontId="2" fillId="0" borderId="0" xfId="0" applyNumberFormat="1" applyFont="1" applyAlignment="1"/>
    <xf numFmtId="0" fontId="2" fillId="0" borderId="0" xfId="0" applyFont="1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4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10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64" fontId="11" fillId="0" borderId="12" xfId="2" applyNumberFormat="1" applyFont="1" applyBorder="1" applyAlignment="1" applyProtection="1"/>
    <xf numFmtId="165" fontId="4" fillId="5" borderId="12" xfId="0" applyNumberFormat="1" applyFont="1" applyFill="1" applyBorder="1" applyAlignment="1">
      <alignment horizontal="center" vertical="center" wrapText="1"/>
    </xf>
    <xf numFmtId="165" fontId="4" fillId="0" borderId="1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/>
    </xf>
    <xf numFmtId="164" fontId="4" fillId="0" borderId="12" xfId="2" applyNumberFormat="1" applyFont="1" applyBorder="1" applyAlignment="1" applyProtection="1"/>
    <xf numFmtId="0" fontId="2" fillId="0" borderId="12" xfId="0" applyFont="1" applyBorder="1" applyAlignment="1">
      <alignment horizontal="center"/>
    </xf>
    <xf numFmtId="166" fontId="4" fillId="5" borderId="12" xfId="0" applyNumberFormat="1" applyFont="1" applyFill="1" applyBorder="1" applyAlignment="1">
      <alignment horizontal="center"/>
    </xf>
    <xf numFmtId="166" fontId="4" fillId="0" borderId="12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164" fontId="4" fillId="0" borderId="12" xfId="2" applyNumberFormat="1" applyFont="1" applyBorder="1" applyAlignment="1" applyProtection="1">
      <alignment vertical="center"/>
    </xf>
    <xf numFmtId="166" fontId="4" fillId="5" borderId="12" xfId="0" applyNumberFormat="1" applyFont="1" applyFill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165" fontId="4" fillId="0" borderId="14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164" fontId="11" fillId="0" borderId="12" xfId="2" applyNumberFormat="1" applyFont="1" applyBorder="1" applyAlignment="1" applyProtection="1">
      <alignment horizontal="left"/>
    </xf>
    <xf numFmtId="164" fontId="3" fillId="0" borderId="12" xfId="3" applyNumberFormat="1" applyFont="1" applyBorder="1" applyProtection="1"/>
    <xf numFmtId="4" fontId="12" fillId="0" borderId="12" xfId="2" applyNumberFormat="1" applyFont="1" applyBorder="1" applyAlignment="1" applyProtection="1"/>
    <xf numFmtId="43" fontId="13" fillId="5" borderId="18" xfId="0" applyNumberFormat="1" applyFont="1" applyFill="1" applyBorder="1" applyAlignment="1">
      <alignment horizontal="left" vertical="center"/>
    </xf>
    <xf numFmtId="164" fontId="3" fillId="0" borderId="12" xfId="3" applyNumberFormat="1" applyFont="1" applyBorder="1" applyAlignment="1" applyProtection="1">
      <alignment vertical="center"/>
    </xf>
    <xf numFmtId="4" fontId="12" fillId="0" borderId="12" xfId="2" applyNumberFormat="1" applyFont="1" applyBorder="1" applyAlignment="1" applyProtection="1">
      <alignment vertical="center"/>
    </xf>
    <xf numFmtId="43" fontId="13" fillId="0" borderId="18" xfId="0" applyNumberFormat="1" applyFont="1" applyBorder="1" applyAlignment="1">
      <alignment horizontal="left" vertical="center"/>
    </xf>
    <xf numFmtId="43" fontId="13" fillId="0" borderId="17" xfId="0" applyNumberFormat="1" applyFont="1" applyBorder="1" applyAlignment="1">
      <alignment horizontal="left" vertical="center"/>
    </xf>
    <xf numFmtId="0" fontId="2" fillId="0" borderId="19" xfId="0" applyFont="1" applyBorder="1" applyAlignment="1"/>
    <xf numFmtId="0" fontId="2" fillId="0" borderId="0" xfId="0" applyFont="1" applyAlignment="1">
      <alignment horizontal="center"/>
    </xf>
    <xf numFmtId="164" fontId="3" fillId="0" borderId="7" xfId="3" applyNumberFormat="1" applyFont="1" applyBorder="1" applyProtection="1"/>
    <xf numFmtId="43" fontId="14" fillId="0" borderId="18" xfId="0" applyNumberFormat="1" applyFont="1" applyBorder="1" applyAlignment="1">
      <alignment horizontal="left" vertical="center"/>
    </xf>
    <xf numFmtId="164" fontId="4" fillId="0" borderId="12" xfId="2" applyNumberFormat="1" applyFont="1" applyBorder="1" applyAlignment="1" applyProtection="1">
      <alignment horizontal="right"/>
    </xf>
    <xf numFmtId="164" fontId="4" fillId="0" borderId="6" xfId="2" applyNumberFormat="1" applyFont="1" applyBorder="1" applyAlignment="1" applyProtection="1">
      <alignment vertical="center"/>
    </xf>
    <xf numFmtId="4" fontId="12" fillId="0" borderId="6" xfId="2" applyNumberFormat="1" applyFont="1" applyBorder="1" applyAlignment="1" applyProtection="1">
      <alignment vertical="center"/>
    </xf>
    <xf numFmtId="164" fontId="4" fillId="0" borderId="6" xfId="2" applyNumberFormat="1" applyFont="1" applyBorder="1" applyAlignment="1" applyProtection="1"/>
    <xf numFmtId="4" fontId="12" fillId="0" borderId="6" xfId="2" applyNumberFormat="1" applyFont="1" applyBorder="1" applyAlignment="1" applyProtection="1"/>
    <xf numFmtId="165" fontId="4" fillId="5" borderId="6" xfId="0" applyNumberFormat="1" applyFont="1" applyFill="1" applyBorder="1" applyAlignment="1">
      <alignment horizontal="center" vertical="center" wrapText="1"/>
    </xf>
    <xf numFmtId="165" fontId="4" fillId="0" borderId="6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left" vertical="center"/>
    </xf>
    <xf numFmtId="166" fontId="4" fillId="5" borderId="12" xfId="0" applyNumberFormat="1" applyFont="1" applyFill="1" applyBorder="1" applyAlignment="1">
      <alignment horizontal="center" vertical="center" wrapText="1"/>
    </xf>
    <xf numFmtId="166" fontId="4" fillId="0" borderId="12" xfId="0" applyNumberFormat="1" applyFont="1" applyBorder="1" applyAlignment="1">
      <alignment horizontal="center" vertical="center" wrapText="1"/>
    </xf>
    <xf numFmtId="165" fontId="4" fillId="5" borderId="12" xfId="0" applyNumberFormat="1" applyFont="1" applyFill="1" applyBorder="1" applyAlignment="1">
      <alignment horizontal="center"/>
    </xf>
    <xf numFmtId="165" fontId="4" fillId="0" borderId="12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6" fontId="4" fillId="5" borderId="7" xfId="0" applyNumberFormat="1" applyFont="1" applyFill="1" applyBorder="1" applyAlignment="1">
      <alignment horizontal="center"/>
    </xf>
    <xf numFmtId="166" fontId="4" fillId="0" borderId="7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/>
    </xf>
    <xf numFmtId="164" fontId="3" fillId="0" borderId="12" xfId="4" applyNumberFormat="1" applyFont="1" applyBorder="1" applyAlignment="1" applyProtection="1">
      <alignment horizontal="right" vertical="center"/>
    </xf>
    <xf numFmtId="164" fontId="11" fillId="0" borderId="12" xfId="3" applyNumberFormat="1" applyFont="1" applyBorder="1" applyAlignment="1" applyProtection="1">
      <alignment horizontal="right"/>
    </xf>
    <xf numFmtId="0" fontId="6" fillId="6" borderId="22" xfId="0" applyFont="1" applyFill="1" applyBorder="1" applyAlignment="1">
      <alignment horizontal="left" vertical="center"/>
    </xf>
    <xf numFmtId="0" fontId="5" fillId="6" borderId="23" xfId="0" applyFont="1" applyFill="1" applyBorder="1" applyAlignment="1">
      <alignment horizontal="left" vertical="center"/>
    </xf>
    <xf numFmtId="164" fontId="6" fillId="7" borderId="23" xfId="2" applyNumberFormat="1" applyFont="1" applyFill="1" applyBorder="1" applyAlignment="1" applyProtection="1">
      <alignment horizontal="right" vertical="center"/>
    </xf>
    <xf numFmtId="0" fontId="6" fillId="0" borderId="25" xfId="0" applyFont="1" applyBorder="1" applyAlignment="1">
      <alignment horizontal="right"/>
    </xf>
    <xf numFmtId="0" fontId="5" fillId="0" borderId="0" xfId="0" applyFont="1" applyAlignment="1">
      <alignment horizontal="right"/>
    </xf>
    <xf numFmtId="164" fontId="6" fillId="0" borderId="0" xfId="2" applyNumberFormat="1" applyFont="1" applyAlignment="1" applyProtection="1">
      <alignment horizontal="right"/>
    </xf>
    <xf numFmtId="0" fontId="2" fillId="0" borderId="6" xfId="0" applyFont="1" applyBorder="1" applyAlignment="1">
      <alignment horizontal="center" vertical="center"/>
    </xf>
    <xf numFmtId="165" fontId="4" fillId="5" borderId="6" xfId="0" applyNumberFormat="1" applyFont="1" applyFill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/>
    <xf numFmtId="164" fontId="3" fillId="0" borderId="6" xfId="3" applyNumberFormat="1" applyFont="1" applyBorder="1" applyAlignment="1" applyProtection="1">
      <alignment vertical="center"/>
    </xf>
    <xf numFmtId="165" fontId="4" fillId="5" borderId="12" xfId="0" applyNumberFormat="1" applyFont="1" applyFill="1" applyBorder="1" applyAlignment="1">
      <alignment horizontal="center" vertical="center"/>
    </xf>
    <xf numFmtId="165" fontId="4" fillId="0" borderId="12" xfId="0" applyNumberFormat="1" applyFont="1" applyBorder="1" applyAlignment="1">
      <alignment horizontal="center" vertical="center"/>
    </xf>
    <xf numFmtId="164" fontId="3" fillId="0" borderId="12" xfId="3" applyNumberFormat="1" applyFont="1" applyBorder="1" applyAlignment="1" applyProtection="1">
      <alignment horizontal="right" vertical="center"/>
    </xf>
    <xf numFmtId="164" fontId="3" fillId="0" borderId="12" xfId="3" applyNumberFormat="1" applyFont="1" applyBorder="1" applyAlignment="1" applyProtection="1">
      <alignment horizontal="right"/>
    </xf>
    <xf numFmtId="164" fontId="4" fillId="0" borderId="12" xfId="2" applyNumberFormat="1" applyFont="1" applyBorder="1" applyAlignment="1" applyProtection="1">
      <alignment horizontal="right" vertical="center"/>
    </xf>
    <xf numFmtId="164" fontId="4" fillId="0" borderId="12" xfId="0" applyNumberFormat="1" applyFont="1" applyBorder="1" applyAlignment="1">
      <alignment horizontal="right" vertical="center"/>
    </xf>
    <xf numFmtId="164" fontId="11" fillId="0" borderId="12" xfId="3" applyNumberFormat="1" applyFont="1" applyBorder="1" applyProtection="1"/>
    <xf numFmtId="164" fontId="4" fillId="0" borderId="0" xfId="0" applyNumberFormat="1" applyFont="1">
      <alignment vertical="center"/>
    </xf>
    <xf numFmtId="164" fontId="3" fillId="0" borderId="30" xfId="3" applyNumberFormat="1" applyFont="1" applyBorder="1" applyProtection="1"/>
    <xf numFmtId="4" fontId="12" fillId="0" borderId="30" xfId="2" applyNumberFormat="1" applyFont="1" applyBorder="1" applyAlignment="1" applyProtection="1"/>
    <xf numFmtId="164" fontId="11" fillId="0" borderId="12" xfId="2" applyNumberFormat="1" applyFont="1" applyBorder="1" applyAlignment="1" applyProtection="1">
      <alignment horizontal="left" vertical="center"/>
    </xf>
    <xf numFmtId="4" fontId="12" fillId="0" borderId="7" xfId="2" applyNumberFormat="1" applyFont="1" applyBorder="1" applyAlignment="1" applyProtection="1"/>
    <xf numFmtId="0" fontId="10" fillId="0" borderId="33" xfId="0" applyFont="1" applyBorder="1" applyAlignment="1">
      <alignment horizontal="center"/>
    </xf>
    <xf numFmtId="164" fontId="10" fillId="0" borderId="12" xfId="2" applyNumberFormat="1" applyFont="1" applyBorder="1" applyAlignment="1" applyProtection="1">
      <alignment horizontal="left"/>
    </xf>
    <xf numFmtId="0" fontId="2" fillId="5" borderId="0" xfId="0" applyFont="1" applyFill="1" applyAlignment="1"/>
    <xf numFmtId="0" fontId="10" fillId="5" borderId="33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5" borderId="12" xfId="0" applyFont="1" applyFill="1" applyBorder="1" applyAlignment="1">
      <alignment horizontal="center"/>
    </xf>
    <xf numFmtId="164" fontId="10" fillId="5" borderId="12" xfId="2" applyNumberFormat="1" applyFont="1" applyFill="1" applyBorder="1" applyAlignment="1" applyProtection="1">
      <alignment horizontal="left"/>
    </xf>
    <xf numFmtId="0" fontId="15" fillId="0" borderId="12" xfId="0" applyFont="1" applyBorder="1" applyAlignment="1">
      <alignment horizontal="left"/>
    </xf>
    <xf numFmtId="0" fontId="10" fillId="5" borderId="5" xfId="0" applyFont="1" applyFill="1" applyBorder="1" applyAlignment="1">
      <alignment horizontal="center"/>
    </xf>
    <xf numFmtId="0" fontId="10" fillId="0" borderId="12" xfId="0" applyFont="1" applyBorder="1" applyAlignment="1">
      <alignment horizontal="left"/>
    </xf>
    <xf numFmtId="0" fontId="18" fillId="0" borderId="12" xfId="0" applyFont="1" applyBorder="1" applyAlignment="1">
      <alignment horizontal="left"/>
    </xf>
    <xf numFmtId="164" fontId="15" fillId="0" borderId="12" xfId="2" applyNumberFormat="1" applyFont="1" applyBorder="1" applyAlignment="1" applyProtection="1">
      <alignment horizontal="left"/>
    </xf>
    <xf numFmtId="0" fontId="20" fillId="0" borderId="12" xfId="0" applyFont="1" applyBorder="1" applyAlignment="1">
      <alignment horizontal="right"/>
    </xf>
    <xf numFmtId="164" fontId="20" fillId="0" borderId="12" xfId="2" applyNumberFormat="1" applyFont="1" applyBorder="1" applyAlignment="1" applyProtection="1">
      <alignment horizontal="left"/>
    </xf>
    <xf numFmtId="0" fontId="21" fillId="0" borderId="12" xfId="0" applyFont="1" applyBorder="1" applyAlignment="1">
      <alignment vertical="center" wrapText="1"/>
    </xf>
    <xf numFmtId="0" fontId="21" fillId="5" borderId="12" xfId="0" applyFont="1" applyFill="1" applyBorder="1" applyAlignment="1">
      <alignment vertical="center" wrapText="1"/>
    </xf>
    <xf numFmtId="0" fontId="21" fillId="0" borderId="12" xfId="0" applyFont="1" applyBorder="1" applyAlignment="1">
      <alignment horizontal="left" vertical="center" wrapText="1"/>
    </xf>
    <xf numFmtId="0" fontId="10" fillId="5" borderId="12" xfId="0" applyFont="1" applyFill="1" applyBorder="1" applyAlignment="1">
      <alignment horizontal="center" vertical="center"/>
    </xf>
    <xf numFmtId="164" fontId="8" fillId="0" borderId="12" xfId="2" applyNumberFormat="1" applyFont="1" applyBorder="1" applyAlignment="1" applyProtection="1">
      <alignment horizontal="left" vertical="center"/>
    </xf>
    <xf numFmtId="0" fontId="15" fillId="5" borderId="34" xfId="0" applyFont="1" applyFill="1" applyBorder="1" applyAlignment="1">
      <alignment horizontal="center" vertical="center"/>
    </xf>
    <xf numFmtId="0" fontId="18" fillId="0" borderId="15" xfId="0" applyFont="1" applyBorder="1">
      <alignment vertical="center"/>
    </xf>
    <xf numFmtId="0" fontId="8" fillId="0" borderId="12" xfId="0" applyFont="1" applyBorder="1" applyAlignment="1">
      <alignment horizontal="left" vertical="center"/>
    </xf>
    <xf numFmtId="0" fontId="15" fillId="5" borderId="35" xfId="0" applyFont="1" applyFill="1" applyBorder="1" applyAlignment="1">
      <alignment horizontal="center" vertical="center"/>
    </xf>
    <xf numFmtId="0" fontId="18" fillId="0" borderId="36" xfId="0" applyFont="1" applyBorder="1">
      <alignment vertical="center"/>
    </xf>
    <xf numFmtId="0" fontId="15" fillId="0" borderId="35" xfId="0" applyFont="1" applyBorder="1" applyAlignment="1">
      <alignment horizontal="center" vertical="center"/>
    </xf>
    <xf numFmtId="0" fontId="22" fillId="0" borderId="36" xfId="0" applyFont="1" applyBorder="1">
      <alignment vertical="center"/>
    </xf>
    <xf numFmtId="0" fontId="22" fillId="2" borderId="36" xfId="0" applyFont="1" applyFill="1" applyBorder="1">
      <alignment vertical="center"/>
    </xf>
    <xf numFmtId="0" fontId="22" fillId="5" borderId="36" xfId="0" applyFont="1" applyFill="1" applyBorder="1">
      <alignment vertical="center"/>
    </xf>
    <xf numFmtId="43" fontId="22" fillId="0" borderId="0" xfId="0" applyNumberFormat="1" applyFont="1" applyAlignment="1"/>
    <xf numFmtId="43" fontId="23" fillId="5" borderId="0" xfId="0" applyNumberFormat="1" applyFont="1" applyFill="1" applyAlignment="1"/>
    <xf numFmtId="0" fontId="2" fillId="0" borderId="12" xfId="0" quotePrefix="1" applyFont="1" applyBorder="1" applyAlignment="1">
      <alignment horizontal="center"/>
    </xf>
    <xf numFmtId="0" fontId="11" fillId="0" borderId="12" xfId="0" applyFont="1" applyBorder="1" applyAlignment="1"/>
    <xf numFmtId="0" fontId="11" fillId="0" borderId="12" xfId="0" applyFont="1" applyBorder="1" applyAlignment="1">
      <alignment horizontal="left"/>
    </xf>
    <xf numFmtId="164" fontId="29" fillId="0" borderId="12" xfId="2" applyNumberFormat="1" applyFont="1" applyBorder="1" applyAlignment="1" applyProtection="1">
      <alignment horizontal="left"/>
    </xf>
    <xf numFmtId="0" fontId="29" fillId="0" borderId="12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30" fillId="0" borderId="12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164" fontId="11" fillId="0" borderId="7" xfId="2" applyNumberFormat="1" applyFont="1" applyBorder="1" applyAlignment="1" applyProtection="1">
      <alignment horizontal="left"/>
    </xf>
    <xf numFmtId="0" fontId="11" fillId="0" borderId="12" xfId="0" applyFont="1" applyBorder="1">
      <alignment vertical="center"/>
    </xf>
    <xf numFmtId="0" fontId="30" fillId="0" borderId="0" xfId="0" applyFont="1" applyAlignment="1">
      <alignment horizontal="right"/>
    </xf>
    <xf numFmtId="0" fontId="11" fillId="0" borderId="6" xfId="0" applyFont="1" applyBorder="1" applyAlignment="1">
      <alignment horizontal="left" vertical="center"/>
    </xf>
    <xf numFmtId="164" fontId="34" fillId="0" borderId="0" xfId="0" applyNumberFormat="1" applyFont="1">
      <alignment vertical="center"/>
    </xf>
    <xf numFmtId="0" fontId="34" fillId="0" borderId="0" xfId="0" applyFont="1">
      <alignment vertical="center"/>
    </xf>
    <xf numFmtId="165" fontId="4" fillId="5" borderId="12" xfId="5" applyNumberFormat="1" applyFont="1" applyFill="1" applyBorder="1" applyAlignment="1">
      <alignment horizontal="center" vertical="center" wrapText="1"/>
    </xf>
    <xf numFmtId="165" fontId="4" fillId="0" borderId="12" xfId="5" applyNumberFormat="1" applyFont="1" applyBorder="1" applyAlignment="1">
      <alignment horizontal="center"/>
    </xf>
    <xf numFmtId="0" fontId="2" fillId="0" borderId="12" xfId="5" quotePrefix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164" fontId="4" fillId="0" borderId="9" xfId="2" applyNumberFormat="1" applyFont="1" applyBorder="1" applyAlignment="1" applyProtection="1"/>
    <xf numFmtId="4" fontId="12" fillId="0" borderId="9" xfId="2" applyNumberFormat="1" applyFont="1" applyBorder="1" applyAlignment="1" applyProtection="1"/>
    <xf numFmtId="0" fontId="10" fillId="0" borderId="10" xfId="0" applyFont="1" applyBorder="1" applyAlignment="1">
      <alignment horizontal="center" vertical="center"/>
    </xf>
    <xf numFmtId="0" fontId="6" fillId="0" borderId="28" xfId="0" applyFont="1" applyBorder="1">
      <alignment vertical="center"/>
    </xf>
    <xf numFmtId="0" fontId="5" fillId="0" borderId="40" xfId="0" applyFont="1" applyBorder="1">
      <alignment vertical="center"/>
    </xf>
    <xf numFmtId="0" fontId="6" fillId="0" borderId="29" xfId="0" applyFont="1" applyBorder="1">
      <alignment vertical="center"/>
    </xf>
    <xf numFmtId="0" fontId="6" fillId="0" borderId="27" xfId="0" applyFont="1" applyBorder="1" applyAlignment="1">
      <alignment horizontal="left" vertical="center"/>
    </xf>
    <xf numFmtId="0" fontId="4" fillId="0" borderId="12" xfId="0" applyFont="1" applyBorder="1">
      <alignment vertical="center"/>
    </xf>
    <xf numFmtId="0" fontId="6" fillId="7" borderId="22" xfId="0" applyFont="1" applyFill="1" applyBorder="1">
      <alignment vertical="center"/>
    </xf>
    <xf numFmtId="0" fontId="5" fillId="7" borderId="23" xfId="0" applyFont="1" applyFill="1" applyBorder="1">
      <alignment vertical="center"/>
    </xf>
    <xf numFmtId="0" fontId="30" fillId="7" borderId="23" xfId="0" applyFont="1" applyFill="1" applyBorder="1">
      <alignment vertical="center"/>
    </xf>
    <xf numFmtId="0" fontId="2" fillId="0" borderId="6" xfId="0" applyFont="1" applyBorder="1" applyAlignment="1">
      <alignment horizontal="center"/>
    </xf>
    <xf numFmtId="164" fontId="3" fillId="0" borderId="6" xfId="3" applyNumberFormat="1" applyFont="1" applyBorder="1" applyProtection="1"/>
    <xf numFmtId="164" fontId="11" fillId="0" borderId="7" xfId="2" applyNumberFormat="1" applyFont="1" applyBorder="1" applyAlignment="1" applyProtection="1"/>
    <xf numFmtId="164" fontId="4" fillId="0" borderId="6" xfId="2" applyNumberFormat="1" applyFont="1" applyBorder="1" applyAlignment="1" applyProtection="1">
      <alignment horizontal="right"/>
    </xf>
    <xf numFmtId="43" fontId="13" fillId="0" borderId="41" xfId="0" applyNumberFormat="1" applyFont="1" applyBorder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9" fillId="4" borderId="3" xfId="0" applyFont="1" applyFill="1" applyBorder="1">
      <alignment vertical="center"/>
    </xf>
    <xf numFmtId="0" fontId="30" fillId="4" borderId="3" xfId="0" applyFont="1" applyFill="1" applyBorder="1">
      <alignment vertical="center"/>
    </xf>
    <xf numFmtId="164" fontId="6" fillId="3" borderId="3" xfId="0" applyNumberFormat="1" applyFont="1" applyFill="1" applyBorder="1" applyAlignment="1">
      <alignment horizontal="center" vertical="center" wrapText="1"/>
    </xf>
    <xf numFmtId="0" fontId="37" fillId="0" borderId="0" xfId="0" applyFont="1" applyAlignment="1">
      <alignment horizontal="left" vertical="center"/>
    </xf>
    <xf numFmtId="164" fontId="3" fillId="7" borderId="26" xfId="2" applyNumberFormat="1" applyFont="1" applyFill="1" applyBorder="1" applyAlignment="1" applyProtection="1">
      <alignment horizontal="right" vertical="center"/>
    </xf>
    <xf numFmtId="164" fontId="13" fillId="0" borderId="27" xfId="2" applyNumberFormat="1" applyFont="1" applyBorder="1" applyAlignment="1" applyProtection="1">
      <alignment horizontal="left"/>
    </xf>
    <xf numFmtId="164" fontId="3" fillId="3" borderId="15" xfId="0" applyNumberFormat="1" applyFont="1" applyFill="1" applyBorder="1" applyAlignment="1">
      <alignment horizontal="center" vertical="center" wrapText="1"/>
    </xf>
    <xf numFmtId="43" fontId="13" fillId="0" borderId="39" xfId="0" applyNumberFormat="1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164" fontId="38" fillId="0" borderId="12" xfId="2" applyNumberFormat="1" applyFont="1" applyBorder="1" applyAlignment="1" applyProtection="1"/>
    <xf numFmtId="164" fontId="38" fillId="0" borderId="12" xfId="3" applyNumberFormat="1" applyFont="1" applyBorder="1" applyAlignment="1" applyProtection="1">
      <alignment horizontal="right"/>
    </xf>
    <xf numFmtId="164" fontId="39" fillId="0" borderId="12" xfId="3" applyNumberFormat="1" applyFont="1" applyBorder="1" applyProtection="1"/>
    <xf numFmtId="164" fontId="11" fillId="0" borderId="38" xfId="2" applyNumberFormat="1" applyFont="1" applyBorder="1" applyAlignment="1" applyProtection="1">
      <alignment horizontal="left"/>
    </xf>
    <xf numFmtId="0" fontId="8" fillId="3" borderId="10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4" borderId="12" xfId="0" applyFont="1" applyFill="1" applyBorder="1" applyAlignment="1">
      <alignment vertical="center" wrapText="1"/>
    </xf>
    <xf numFmtId="0" fontId="28" fillId="4" borderId="12" xfId="0" applyFont="1" applyFill="1" applyBorder="1" applyAlignment="1">
      <alignment vertical="center" wrapText="1"/>
    </xf>
    <xf numFmtId="0" fontId="31" fillId="0" borderId="12" xfId="0" applyFont="1" applyBorder="1" applyAlignment="1"/>
    <xf numFmtId="0" fontId="28" fillId="0" borderId="12" xfId="0" applyFont="1" applyBorder="1" applyAlignment="1">
      <alignment vertical="center" wrapText="1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 vertical="center" wrapText="1"/>
    </xf>
    <xf numFmtId="164" fontId="3" fillId="3" borderId="18" xfId="0" applyNumberFormat="1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164" fontId="6" fillId="0" borderId="12" xfId="0" applyNumberFormat="1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 wrapText="1"/>
    </xf>
    <xf numFmtId="164" fontId="12" fillId="0" borderId="12" xfId="3" applyNumberFormat="1" applyFont="1" applyBorder="1" applyProtection="1"/>
    <xf numFmtId="0" fontId="30" fillId="7" borderId="23" xfId="0" applyFont="1" applyFill="1" applyBorder="1" applyAlignment="1">
      <alignment horizontal="left" vertical="center"/>
    </xf>
    <xf numFmtId="0" fontId="8" fillId="0" borderId="8" xfId="0" applyFont="1" applyBorder="1">
      <alignment vertical="center"/>
    </xf>
    <xf numFmtId="0" fontId="5" fillId="0" borderId="9" xfId="0" applyFont="1" applyBorder="1" applyAlignment="1">
      <alignment vertical="center" wrapText="1"/>
    </xf>
    <xf numFmtId="0" fontId="28" fillId="0" borderId="9" xfId="0" applyFont="1" applyBorder="1" applyAlignment="1">
      <alignment vertical="center" wrapText="1"/>
    </xf>
    <xf numFmtId="164" fontId="6" fillId="0" borderId="9" xfId="0" applyNumberFormat="1" applyFont="1" applyBorder="1" applyAlignment="1">
      <alignment vertical="center" wrapText="1"/>
    </xf>
    <xf numFmtId="0" fontId="8" fillId="0" borderId="10" xfId="0" applyFont="1" applyBorder="1">
      <alignment vertical="center"/>
    </xf>
    <xf numFmtId="43" fontId="40" fillId="0" borderId="18" xfId="0" applyNumberFormat="1" applyFont="1" applyBorder="1" applyAlignment="1">
      <alignment horizontal="left" vertical="center"/>
    </xf>
    <xf numFmtId="0" fontId="2" fillId="0" borderId="38" xfId="0" applyFont="1" applyBorder="1" applyAlignment="1">
      <alignment horizontal="center"/>
    </xf>
    <xf numFmtId="164" fontId="11" fillId="0" borderId="38" xfId="2" applyNumberFormat="1" applyFont="1" applyBorder="1" applyAlignment="1" applyProtection="1"/>
    <xf numFmtId="166" fontId="4" fillId="5" borderId="38" xfId="0" applyNumberFormat="1" applyFont="1" applyFill="1" applyBorder="1" applyAlignment="1">
      <alignment horizontal="center"/>
    </xf>
    <xf numFmtId="166" fontId="4" fillId="0" borderId="38" xfId="0" applyNumberFormat="1" applyFont="1" applyBorder="1" applyAlignment="1">
      <alignment horizontal="center"/>
    </xf>
    <xf numFmtId="164" fontId="4" fillId="0" borderId="38" xfId="2" applyNumberFormat="1" applyFont="1" applyBorder="1" applyAlignment="1" applyProtection="1"/>
    <xf numFmtId="164" fontId="3" fillId="0" borderId="38" xfId="3" applyNumberFormat="1" applyFont="1" applyBorder="1" applyProtection="1"/>
    <xf numFmtId="4" fontId="12" fillId="0" borderId="38" xfId="2" applyNumberFormat="1" applyFont="1" applyBorder="1" applyAlignment="1" applyProtection="1"/>
    <xf numFmtId="0" fontId="2" fillId="0" borderId="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5" applyFont="1" applyBorder="1" applyAlignment="1">
      <alignment horizontal="center"/>
    </xf>
    <xf numFmtId="0" fontId="5" fillId="0" borderId="0" xfId="0" applyFont="1" applyAlignment="1">
      <alignment horizontal="center"/>
    </xf>
    <xf numFmtId="164" fontId="32" fillId="0" borderId="12" xfId="2" applyNumberFormat="1" applyFont="1" applyBorder="1" applyAlignment="1" applyProtection="1">
      <alignment horizontal="left" vertical="center"/>
    </xf>
    <xf numFmtId="164" fontId="11" fillId="0" borderId="9" xfId="2" applyNumberFormat="1" applyFont="1" applyBorder="1" applyAlignment="1" applyProtection="1">
      <alignment horizontal="left"/>
    </xf>
    <xf numFmtId="165" fontId="4" fillId="5" borderId="9" xfId="0" applyNumberFormat="1" applyFont="1" applyFill="1" applyBorder="1" applyAlignment="1">
      <alignment horizontal="center"/>
    </xf>
    <xf numFmtId="165" fontId="4" fillId="0" borderId="9" xfId="0" applyNumberFormat="1" applyFont="1" applyBorder="1" applyAlignment="1">
      <alignment horizontal="center"/>
    </xf>
    <xf numFmtId="164" fontId="3" fillId="0" borderId="9" xfId="3" applyNumberFormat="1" applyFont="1" applyBorder="1" applyProtection="1"/>
    <xf numFmtId="43" fontId="13" fillId="0" borderId="16" xfId="0" applyNumberFormat="1" applyFont="1" applyBorder="1" applyAlignment="1">
      <alignment horizontal="left" vertical="center"/>
    </xf>
    <xf numFmtId="0" fontId="16" fillId="7" borderId="37" xfId="0" applyFont="1" applyFill="1" applyBorder="1" applyAlignment="1">
      <alignment horizontal="right" vertical="center"/>
    </xf>
    <xf numFmtId="0" fontId="17" fillId="7" borderId="38" xfId="0" applyFont="1" applyFill="1" applyBorder="1" applyAlignment="1">
      <alignment horizontal="right" vertical="center"/>
    </xf>
    <xf numFmtId="0" fontId="5" fillId="7" borderId="38" xfId="0" applyFont="1" applyFill="1" applyBorder="1" applyAlignment="1">
      <alignment horizontal="right" vertical="center"/>
    </xf>
    <xf numFmtId="0" fontId="33" fillId="7" borderId="38" xfId="0" applyFont="1" applyFill="1" applyBorder="1" applyAlignment="1">
      <alignment horizontal="right" vertical="center"/>
    </xf>
    <xf numFmtId="164" fontId="3" fillId="7" borderId="38" xfId="1" applyNumberFormat="1" applyFont="1" applyFill="1" applyBorder="1" applyAlignment="1">
      <alignment horizontal="right" vertical="center"/>
    </xf>
    <xf numFmtId="164" fontId="3" fillId="7" borderId="39" xfId="2" applyNumberFormat="1" applyFont="1" applyFill="1" applyBorder="1" applyAlignment="1" applyProtection="1">
      <alignment horizontal="right" vertical="center"/>
    </xf>
    <xf numFmtId="0" fontId="41" fillId="0" borderId="12" xfId="0" applyFont="1" applyBorder="1" applyAlignment="1">
      <alignment horizontal="center"/>
    </xf>
    <xf numFmtId="0" fontId="41" fillId="0" borderId="12" xfId="0" applyFont="1" applyBorder="1" applyAlignment="1">
      <alignment horizontal="center" vertical="center"/>
    </xf>
    <xf numFmtId="164" fontId="11" fillId="8" borderId="12" xfId="2" applyNumberFormat="1" applyFont="1" applyFill="1" applyBorder="1" applyAlignment="1" applyProtection="1">
      <alignment horizontal="left"/>
    </xf>
    <xf numFmtId="0" fontId="42" fillId="0" borderId="0" xfId="0" applyFont="1" applyAlignment="1">
      <alignment horizontal="left" vertical="center"/>
    </xf>
    <xf numFmtId="43" fontId="43" fillId="0" borderId="18" xfId="0" applyNumberFormat="1" applyFont="1" applyBorder="1" applyAlignment="1">
      <alignment horizontal="left" vertical="center"/>
    </xf>
    <xf numFmtId="43" fontId="43" fillId="5" borderId="18" xfId="0" applyNumberFormat="1" applyFont="1" applyFill="1" applyBorder="1" applyAlignment="1">
      <alignment horizontal="left" vertical="center"/>
    </xf>
    <xf numFmtId="43" fontId="32" fillId="0" borderId="18" xfId="0" applyNumberFormat="1" applyFont="1" applyBorder="1" applyAlignment="1">
      <alignment horizontal="left" vertical="center"/>
    </xf>
    <xf numFmtId="43" fontId="43" fillId="0" borderId="17" xfId="0" applyNumberFormat="1" applyFont="1" applyBorder="1" applyAlignment="1">
      <alignment horizontal="left" vertical="center"/>
    </xf>
    <xf numFmtId="164" fontId="30" fillId="7" borderId="26" xfId="2" applyNumberFormat="1" applyFont="1" applyFill="1" applyBorder="1" applyAlignment="1" applyProtection="1">
      <alignment horizontal="right" vertical="center"/>
    </xf>
    <xf numFmtId="164" fontId="43" fillId="0" borderId="27" xfId="2" applyNumberFormat="1" applyFont="1" applyBorder="1" applyAlignment="1" applyProtection="1">
      <alignment horizontal="left"/>
    </xf>
    <xf numFmtId="43" fontId="43" fillId="0" borderId="41" xfId="0" applyNumberFormat="1" applyFont="1" applyBorder="1" applyAlignment="1">
      <alignment horizontal="left" vertical="center"/>
    </xf>
    <xf numFmtId="164" fontId="30" fillId="7" borderId="39" xfId="2" applyNumberFormat="1" applyFont="1" applyFill="1" applyBorder="1" applyAlignment="1" applyProtection="1">
      <alignment horizontal="right" vertical="center"/>
    </xf>
    <xf numFmtId="0" fontId="28" fillId="0" borderId="0" xfId="0" applyFont="1" applyAlignment="1">
      <alignment horizontal="left" vertical="center"/>
    </xf>
    <xf numFmtId="0" fontId="34" fillId="8" borderId="12" xfId="0" applyFont="1" applyFill="1" applyBorder="1" applyAlignment="1">
      <alignment horizontal="center"/>
    </xf>
    <xf numFmtId="0" fontId="5" fillId="0" borderId="9" xfId="0" applyFont="1" applyBorder="1">
      <alignment vertical="center"/>
    </xf>
    <xf numFmtId="0" fontId="28" fillId="0" borderId="9" xfId="0" applyFont="1" applyBorder="1">
      <alignment vertical="center"/>
    </xf>
    <xf numFmtId="164" fontId="6" fillId="0" borderId="9" xfId="0" applyNumberFormat="1" applyFont="1" applyBorder="1">
      <alignment vertical="center"/>
    </xf>
    <xf numFmtId="0" fontId="5" fillId="0" borderId="12" xfId="0" applyFont="1" applyBorder="1">
      <alignment vertical="center"/>
    </xf>
    <xf numFmtId="0" fontId="28" fillId="0" borderId="12" xfId="0" applyFont="1" applyBorder="1">
      <alignment vertical="center"/>
    </xf>
    <xf numFmtId="164" fontId="6" fillId="0" borderId="12" xfId="0" applyNumberFormat="1" applyFont="1" applyBorder="1">
      <alignment vertical="center"/>
    </xf>
    <xf numFmtId="164" fontId="6" fillId="0" borderId="12" xfId="0" applyNumberFormat="1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8" fillId="0" borderId="18" xfId="0" applyFont="1" applyBorder="1" applyAlignment="1">
      <alignment horizontal="left" vertical="center"/>
    </xf>
    <xf numFmtId="0" fontId="9" fillId="4" borderId="12" xfId="0" applyFont="1" applyFill="1" applyBorder="1">
      <alignment vertical="center"/>
    </xf>
    <xf numFmtId="0" fontId="28" fillId="4" borderId="12" xfId="0" applyFont="1" applyFill="1" applyBorder="1">
      <alignment vertical="center"/>
    </xf>
    <xf numFmtId="164" fontId="6" fillId="3" borderId="12" xfId="0" applyNumberFormat="1" applyFont="1" applyFill="1" applyBorder="1" applyAlignment="1">
      <alignment horizontal="center" vertical="center"/>
    </xf>
    <xf numFmtId="164" fontId="30" fillId="3" borderId="18" xfId="0" applyNumberFormat="1" applyFont="1" applyFill="1" applyBorder="1" applyAlignment="1">
      <alignment horizontal="center" vertical="center"/>
    </xf>
    <xf numFmtId="165" fontId="4" fillId="5" borderId="12" xfId="5" applyNumberFormat="1" applyFont="1" applyFill="1" applyBorder="1" applyAlignment="1">
      <alignment horizontal="center" vertical="center"/>
    </xf>
    <xf numFmtId="164" fontId="6" fillId="3" borderId="3" xfId="0" applyNumberFormat="1" applyFont="1" applyFill="1" applyBorder="1" applyAlignment="1">
      <alignment horizontal="center" vertical="center"/>
    </xf>
    <xf numFmtId="164" fontId="30" fillId="3" borderId="15" xfId="0" applyNumberFormat="1" applyFont="1" applyFill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26" fillId="0" borderId="0" xfId="0" applyFont="1">
      <alignment vertical="center"/>
    </xf>
    <xf numFmtId="0" fontId="2" fillId="9" borderId="12" xfId="0" applyFont="1" applyFill="1" applyBorder="1" applyAlignment="1">
      <alignment horizontal="center"/>
    </xf>
    <xf numFmtId="164" fontId="30" fillId="0" borderId="9" xfId="0" applyNumberFormat="1" applyFont="1" applyBorder="1">
      <alignment vertical="center"/>
    </xf>
    <xf numFmtId="164" fontId="30" fillId="0" borderId="12" xfId="0" applyNumberFormat="1" applyFont="1" applyBorder="1" applyAlignment="1">
      <alignment horizontal="center" vertical="center"/>
    </xf>
    <xf numFmtId="164" fontId="30" fillId="0" borderId="12" xfId="0" applyNumberFormat="1" applyFont="1" applyBorder="1">
      <alignment vertical="center"/>
    </xf>
    <xf numFmtId="164" fontId="30" fillId="3" borderId="12" xfId="0" applyNumberFormat="1" applyFont="1" applyFill="1" applyBorder="1" applyAlignment="1">
      <alignment horizontal="center" vertical="center"/>
    </xf>
    <xf numFmtId="164" fontId="11" fillId="0" borderId="12" xfId="2" applyNumberFormat="1" applyFont="1" applyBorder="1" applyAlignment="1" applyProtection="1">
      <alignment horizontal="right"/>
    </xf>
    <xf numFmtId="164" fontId="11" fillId="0" borderId="12" xfId="2" applyNumberFormat="1" applyFont="1" applyBorder="1" applyAlignment="1" applyProtection="1">
      <alignment vertical="center"/>
    </xf>
    <xf numFmtId="164" fontId="11" fillId="0" borderId="12" xfId="0" applyNumberFormat="1" applyFont="1" applyBorder="1" applyAlignment="1"/>
    <xf numFmtId="164" fontId="11" fillId="0" borderId="6" xfId="2" applyNumberFormat="1" applyFont="1" applyBorder="1" applyAlignment="1" applyProtection="1">
      <alignment horizontal="right"/>
    </xf>
    <xf numFmtId="164" fontId="11" fillId="0" borderId="12" xfId="0" applyNumberFormat="1" applyFont="1" applyBorder="1" applyAlignment="1">
      <alignment horizontal="right" vertical="center"/>
    </xf>
    <xf numFmtId="164" fontId="30" fillId="7" borderId="23" xfId="2" applyNumberFormat="1" applyFont="1" applyFill="1" applyBorder="1" applyAlignment="1" applyProtection="1">
      <alignment horizontal="right" vertical="center"/>
    </xf>
    <xf numFmtId="164" fontId="30" fillId="0" borderId="0" xfId="2" applyNumberFormat="1" applyFont="1" applyAlignment="1" applyProtection="1">
      <alignment horizontal="right"/>
    </xf>
    <xf numFmtId="164" fontId="30" fillId="3" borderId="3" xfId="0" applyNumberFormat="1" applyFont="1" applyFill="1" applyBorder="1" applyAlignment="1">
      <alignment horizontal="center" vertical="center"/>
    </xf>
    <xf numFmtId="164" fontId="11" fillId="0" borderId="6" xfId="2" applyNumberFormat="1" applyFont="1" applyBorder="1" applyAlignment="1" applyProtection="1"/>
    <xf numFmtId="164" fontId="11" fillId="0" borderId="12" xfId="2" applyNumberFormat="1" applyFont="1" applyBorder="1" applyAlignment="1" applyProtection="1">
      <alignment horizontal="right" vertical="center"/>
    </xf>
    <xf numFmtId="0" fontId="11" fillId="0" borderId="0" xfId="0" applyFont="1">
      <alignment vertical="center"/>
    </xf>
    <xf numFmtId="0" fontId="44" fillId="0" borderId="0" xfId="0" applyFont="1">
      <alignment vertical="center"/>
    </xf>
    <xf numFmtId="4" fontId="6" fillId="0" borderId="9" xfId="0" applyNumberFormat="1" applyFont="1" applyBorder="1">
      <alignment vertical="center"/>
    </xf>
    <xf numFmtId="4" fontId="6" fillId="0" borderId="12" xfId="0" applyNumberFormat="1" applyFont="1" applyBorder="1">
      <alignment vertical="center"/>
    </xf>
    <xf numFmtId="0" fontId="4" fillId="0" borderId="12" xfId="0" applyFont="1" applyBorder="1" applyAlignment="1">
      <alignment horizontal="center"/>
    </xf>
    <xf numFmtId="164" fontId="30" fillId="7" borderId="38" xfId="1" applyNumberFormat="1" applyFont="1" applyFill="1" applyBorder="1" applyAlignment="1">
      <alignment horizontal="right" vertical="center"/>
    </xf>
    <xf numFmtId="164" fontId="11" fillId="0" borderId="6" xfId="2" applyNumberFormat="1" applyFont="1" applyBorder="1" applyAlignment="1" applyProtection="1">
      <alignment vertical="center"/>
    </xf>
    <xf numFmtId="0" fontId="1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64" fontId="11" fillId="0" borderId="30" xfId="2" applyNumberFormat="1" applyFont="1" applyBorder="1" applyAlignment="1" applyProtection="1"/>
    <xf numFmtId="165" fontId="4" fillId="5" borderId="30" xfId="0" applyNumberFormat="1" applyFont="1" applyFill="1" applyBorder="1" applyAlignment="1">
      <alignment horizontal="center" vertical="center"/>
    </xf>
    <xf numFmtId="165" fontId="4" fillId="0" borderId="30" xfId="0" applyNumberFormat="1" applyFont="1" applyBorder="1" applyAlignment="1">
      <alignment horizontal="center" vertical="center"/>
    </xf>
    <xf numFmtId="43" fontId="43" fillId="0" borderId="32" xfId="0" applyNumberFormat="1" applyFont="1" applyBorder="1" applyAlignment="1">
      <alignment horizontal="left" vertical="center"/>
    </xf>
    <xf numFmtId="0" fontId="45" fillId="0" borderId="0" xfId="0" applyFont="1">
      <alignment vertical="center"/>
    </xf>
    <xf numFmtId="0" fontId="46" fillId="0" borderId="0" xfId="0" applyFont="1">
      <alignment vertical="center"/>
    </xf>
    <xf numFmtId="165" fontId="4" fillId="5" borderId="21" xfId="0" applyNumberFormat="1" applyFont="1" applyFill="1" applyBorder="1" applyAlignment="1">
      <alignment horizontal="center" vertical="center"/>
    </xf>
    <xf numFmtId="165" fontId="4" fillId="0" borderId="21" xfId="0" applyNumberFormat="1" applyFont="1" applyBorder="1" applyAlignment="1">
      <alignment horizontal="center" vertical="center"/>
    </xf>
    <xf numFmtId="0" fontId="2" fillId="0" borderId="40" xfId="0" applyFont="1" applyBorder="1" applyAlignment="1">
      <alignment horizontal="center"/>
    </xf>
    <xf numFmtId="164" fontId="11" fillId="0" borderId="11" xfId="2" applyNumberFormat="1" applyFont="1" applyBorder="1" applyAlignment="1" applyProtection="1">
      <alignment vertical="center"/>
    </xf>
    <xf numFmtId="165" fontId="4" fillId="5" borderId="7" xfId="0" applyNumberFormat="1" applyFont="1" applyFill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64" fontId="11" fillId="0" borderId="21" xfId="2" applyNumberFormat="1" applyFont="1" applyBorder="1" applyAlignment="1" applyProtection="1"/>
    <xf numFmtId="0" fontId="5" fillId="6" borderId="31" xfId="0" applyFont="1" applyFill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10" fillId="0" borderId="5" xfId="0" applyFont="1" applyBorder="1" applyAlignment="1">
      <alignment horizontal="center"/>
    </xf>
    <xf numFmtId="164" fontId="11" fillId="0" borderId="6" xfId="2" applyNumberFormat="1" applyFont="1" applyBorder="1" applyAlignment="1" applyProtection="1">
      <alignment horizontal="left"/>
    </xf>
    <xf numFmtId="165" fontId="4" fillId="5" borderId="6" xfId="0" applyNumberFormat="1" applyFont="1" applyFill="1" applyBorder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0" fontId="6" fillId="0" borderId="22" xfId="0" applyFont="1" applyBorder="1">
      <alignment vertical="center"/>
    </xf>
    <xf numFmtId="0" fontId="5" fillId="0" borderId="43" xfId="0" applyFont="1" applyBorder="1">
      <alignment vertical="center"/>
    </xf>
    <xf numFmtId="0" fontId="5" fillId="0" borderId="3" xfId="0" applyFont="1" applyBorder="1">
      <alignment vertical="center"/>
    </xf>
    <xf numFmtId="0" fontId="6" fillId="0" borderId="24" xfId="0" applyFont="1" applyBorder="1">
      <alignment vertical="center"/>
    </xf>
    <xf numFmtId="0" fontId="30" fillId="0" borderId="24" xfId="0" applyFont="1" applyBorder="1">
      <alignment vertical="center"/>
    </xf>
    <xf numFmtId="0" fontId="30" fillId="0" borderId="15" xfId="0" applyFont="1" applyBorder="1" applyAlignment="1">
      <alignment horizontal="left" vertical="center"/>
    </xf>
    <xf numFmtId="0" fontId="10" fillId="0" borderId="28" xfId="0" applyFont="1" applyBorder="1" applyAlignment="1">
      <alignment horizontal="center" vertical="center"/>
    </xf>
    <xf numFmtId="0" fontId="2" fillId="0" borderId="30" xfId="5" quotePrefix="1" applyFont="1" applyBorder="1" applyAlignment="1">
      <alignment horizontal="center"/>
    </xf>
    <xf numFmtId="0" fontId="2" fillId="0" borderId="30" xfId="5" applyFont="1" applyBorder="1" applyAlignment="1">
      <alignment horizontal="center"/>
    </xf>
    <xf numFmtId="165" fontId="4" fillId="5" borderId="30" xfId="5" applyNumberFormat="1" applyFont="1" applyFill="1" applyBorder="1" applyAlignment="1">
      <alignment horizontal="center" vertical="center"/>
    </xf>
    <xf numFmtId="165" fontId="4" fillId="0" borderId="30" xfId="5" applyNumberFormat="1" applyFont="1" applyBorder="1" applyAlignment="1">
      <alignment horizontal="center"/>
    </xf>
    <xf numFmtId="164" fontId="4" fillId="0" borderId="30" xfId="2" applyNumberFormat="1" applyFont="1" applyBorder="1" applyAlignment="1" applyProtection="1"/>
    <xf numFmtId="164" fontId="34" fillId="0" borderId="12" xfId="2" applyNumberFormat="1" applyFont="1" applyBorder="1" applyAlignment="1" applyProtection="1">
      <alignment horizontal="center"/>
    </xf>
    <xf numFmtId="164" fontId="34" fillId="0" borderId="12" xfId="2" applyNumberFormat="1" applyFont="1" applyBorder="1" applyAlignment="1" applyProtection="1">
      <alignment horizontal="left"/>
    </xf>
    <xf numFmtId="0" fontId="5" fillId="0" borderId="0" xfId="0" applyFont="1" applyAlignment="1">
      <alignment horizontal="center" vertical="center"/>
    </xf>
    <xf numFmtId="0" fontId="34" fillId="0" borderId="12" xfId="0" applyFont="1" applyBorder="1" applyAlignment="1"/>
    <xf numFmtId="0" fontId="34" fillId="0" borderId="12" xfId="0" applyFont="1" applyBorder="1" applyAlignment="1">
      <alignment horizontal="left"/>
    </xf>
    <xf numFmtId="164" fontId="47" fillId="0" borderId="12" xfId="2" applyNumberFormat="1" applyFont="1" applyBorder="1" applyAlignment="1" applyProtection="1">
      <alignment horizontal="left"/>
    </xf>
    <xf numFmtId="0" fontId="47" fillId="0" borderId="12" xfId="0" applyFont="1" applyBorder="1" applyAlignment="1">
      <alignment horizontal="left"/>
    </xf>
    <xf numFmtId="164" fontId="34" fillId="0" borderId="12" xfId="2" applyNumberFormat="1" applyFont="1" applyBorder="1" applyAlignment="1" applyProtection="1">
      <alignment horizontal="left" vertical="center"/>
    </xf>
    <xf numFmtId="0" fontId="34" fillId="0" borderId="12" xfId="0" applyFont="1" applyBorder="1" applyAlignment="1">
      <alignment horizontal="left" vertical="center"/>
    </xf>
    <xf numFmtId="164" fontId="34" fillId="5" borderId="12" xfId="2" applyNumberFormat="1" applyFont="1" applyFill="1" applyBorder="1" applyAlignment="1" applyProtection="1">
      <alignment horizontal="left"/>
    </xf>
    <xf numFmtId="0" fontId="34" fillId="0" borderId="6" xfId="0" applyFont="1" applyBorder="1" applyAlignment="1">
      <alignment horizontal="left" vertical="center"/>
    </xf>
    <xf numFmtId="0" fontId="34" fillId="0" borderId="12" xfId="0" applyFont="1" applyBorder="1">
      <alignment vertical="center"/>
    </xf>
    <xf numFmtId="0" fontId="48" fillId="0" borderId="12" xfId="0" applyFont="1" applyBorder="1" applyAlignment="1"/>
    <xf numFmtId="164" fontId="34" fillId="0" borderId="7" xfId="2" applyNumberFormat="1" applyFont="1" applyBorder="1" applyAlignment="1" applyProtection="1">
      <alignment horizontal="left"/>
    </xf>
    <xf numFmtId="0" fontId="2" fillId="0" borderId="12" xfId="0" applyFont="1" applyBorder="1" applyAlignment="1">
      <alignment horizontal="left" vertical="center"/>
    </xf>
    <xf numFmtId="0" fontId="2" fillId="0" borderId="42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8" fillId="7" borderId="23" xfId="0" applyFont="1" applyFill="1" applyBorder="1" applyAlignment="1">
      <alignment horizontal="left" vertical="center"/>
    </xf>
    <xf numFmtId="0" fontId="28" fillId="0" borderId="0" xfId="0" applyFont="1" applyAlignment="1">
      <alignment horizontal="right"/>
    </xf>
    <xf numFmtId="0" fontId="28" fillId="4" borderId="3" xfId="0" applyFont="1" applyFill="1" applyBorder="1">
      <alignment vertical="center"/>
    </xf>
    <xf numFmtId="0" fontId="28" fillId="0" borderId="12" xfId="0" applyFont="1" applyBorder="1" applyAlignment="1">
      <alignment horizontal="left"/>
    </xf>
    <xf numFmtId="0" fontId="34" fillId="0" borderId="7" xfId="0" applyFont="1" applyBorder="1" applyAlignment="1">
      <alignment horizontal="left"/>
    </xf>
    <xf numFmtId="0" fontId="34" fillId="0" borderId="6" xfId="0" applyFont="1" applyBorder="1" applyAlignment="1">
      <alignment horizontal="left"/>
    </xf>
    <xf numFmtId="164" fontId="34" fillId="0" borderId="30" xfId="2" applyNumberFormat="1" applyFont="1" applyBorder="1" applyAlignment="1" applyProtection="1">
      <alignment horizontal="left"/>
    </xf>
    <xf numFmtId="0" fontId="28" fillId="7" borderId="23" xfId="0" applyFont="1" applyFill="1" applyBorder="1">
      <alignment vertical="center"/>
    </xf>
    <xf numFmtId="0" fontId="5" fillId="0" borderId="24" xfId="0" applyFont="1" applyBorder="1">
      <alignment vertical="center"/>
    </xf>
    <xf numFmtId="164" fontId="34" fillId="0" borderId="6" xfId="2" applyNumberFormat="1" applyFont="1" applyBorder="1" applyAlignment="1" applyProtection="1">
      <alignment horizontal="left"/>
    </xf>
    <xf numFmtId="0" fontId="28" fillId="7" borderId="38" xfId="0" applyFont="1" applyFill="1" applyBorder="1" applyAlignment="1">
      <alignment horizontal="right" vertical="center"/>
    </xf>
    <xf numFmtId="0" fontId="8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164" fontId="30" fillId="0" borderId="9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45" xfId="0" applyFont="1" applyBorder="1" applyAlignment="1">
      <alignment horizontal="left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7" borderId="3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9" fillId="0" borderId="12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164" fontId="11" fillId="0" borderId="7" xfId="2" applyNumberFormat="1" applyFont="1" applyBorder="1" applyAlignment="1" applyProtection="1">
      <alignment vertical="center"/>
    </xf>
    <xf numFmtId="164" fontId="4" fillId="0" borderId="7" xfId="2" applyNumberFormat="1" applyFont="1" applyBorder="1" applyAlignment="1" applyProtection="1"/>
    <xf numFmtId="164" fontId="3" fillId="0" borderId="7" xfId="3" applyNumberFormat="1" applyFont="1" applyBorder="1" applyAlignment="1" applyProtection="1">
      <alignment vertical="center"/>
    </xf>
    <xf numFmtId="4" fontId="12" fillId="0" borderId="7" xfId="2" applyNumberFormat="1" applyFont="1" applyBorder="1" applyAlignment="1" applyProtection="1">
      <alignment vertical="center"/>
    </xf>
    <xf numFmtId="0" fontId="5" fillId="6" borderId="22" xfId="0" applyFont="1" applyFill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/>
    </xf>
    <xf numFmtId="0" fontId="4" fillId="0" borderId="45" xfId="0" applyFont="1" applyBorder="1" applyAlignment="1">
      <alignment horizontal="left" vertical="center"/>
    </xf>
    <xf numFmtId="0" fontId="2" fillId="0" borderId="48" xfId="0" applyFont="1" applyBorder="1" applyAlignment="1">
      <alignment horizontal="center"/>
    </xf>
    <xf numFmtId="0" fontId="5" fillId="4" borderId="12" xfId="0" applyFont="1" applyFill="1" applyBorder="1">
      <alignment vertical="center"/>
    </xf>
    <xf numFmtId="0" fontId="2" fillId="0" borderId="12" xfId="0" applyFont="1" applyBorder="1" applyAlignment="1"/>
    <xf numFmtId="0" fontId="2" fillId="0" borderId="12" xfId="0" applyFont="1" applyBorder="1" applyAlignment="1">
      <alignment horizontal="left"/>
    </xf>
    <xf numFmtId="164" fontId="2" fillId="0" borderId="12" xfId="2" applyNumberFormat="1" applyFont="1" applyBorder="1" applyAlignment="1" applyProtection="1">
      <alignment horizontal="left"/>
    </xf>
    <xf numFmtId="164" fontId="41" fillId="0" borderId="12" xfId="2" applyNumberFormat="1" applyFont="1" applyBorder="1" applyAlignment="1" applyProtection="1">
      <alignment horizontal="left"/>
    </xf>
    <xf numFmtId="0" fontId="41" fillId="0" borderId="12" xfId="0" applyFont="1" applyBorder="1" applyAlignment="1">
      <alignment horizontal="left"/>
    </xf>
    <xf numFmtId="164" fontId="2" fillId="0" borderId="12" xfId="2" applyNumberFormat="1" applyFont="1" applyBorder="1" applyAlignment="1" applyProtection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2" xfId="0" applyFont="1" applyBorder="1">
      <alignment vertical="center"/>
    </xf>
    <xf numFmtId="0" fontId="49" fillId="0" borderId="12" xfId="0" applyFont="1" applyBorder="1" applyAlignment="1"/>
    <xf numFmtId="164" fontId="2" fillId="0" borderId="7" xfId="2" applyNumberFormat="1" applyFont="1" applyBorder="1" applyAlignment="1" applyProtection="1">
      <alignment horizontal="left"/>
    </xf>
    <xf numFmtId="0" fontId="5" fillId="7" borderId="23" xfId="0" applyFont="1" applyFill="1" applyBorder="1" applyAlignment="1">
      <alignment horizontal="left" vertical="center"/>
    </xf>
    <xf numFmtId="0" fontId="5" fillId="4" borderId="3" xfId="0" applyFont="1" applyFill="1" applyBorder="1">
      <alignment vertical="center"/>
    </xf>
    <xf numFmtId="0" fontId="5" fillId="0" borderId="12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164" fontId="2" fillId="0" borderId="30" xfId="2" applyNumberFormat="1" applyFont="1" applyBorder="1" applyAlignment="1" applyProtection="1">
      <alignment horizontal="left"/>
    </xf>
    <xf numFmtId="164" fontId="2" fillId="0" borderId="6" xfId="2" applyNumberFormat="1" applyFont="1" applyBorder="1" applyAlignment="1" applyProtection="1">
      <alignment horizontal="left"/>
    </xf>
    <xf numFmtId="164" fontId="2" fillId="0" borderId="0" xfId="0" applyNumberFormat="1" applyFont="1">
      <alignment vertical="center"/>
    </xf>
    <xf numFmtId="164" fontId="11" fillId="0" borderId="0" xfId="2" applyNumberFormat="1" applyFont="1" applyAlignment="1" applyProtection="1"/>
    <xf numFmtId="0" fontId="2" fillId="5" borderId="42" xfId="0" applyFont="1" applyFill="1" applyBorder="1" applyAlignment="1">
      <alignment horizontal="left" vertical="center"/>
    </xf>
    <xf numFmtId="0" fontId="2" fillId="0" borderId="50" xfId="0" applyFont="1" applyBorder="1" applyAlignment="1">
      <alignment horizontal="left" vertical="center"/>
    </xf>
    <xf numFmtId="0" fontId="2" fillId="0" borderId="52" xfId="0" applyFont="1" applyBorder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4" fontId="2" fillId="0" borderId="14" xfId="2" applyNumberFormat="1" applyFont="1" applyBorder="1" applyAlignment="1" applyProtection="1">
      <alignment horizontal="left"/>
    </xf>
    <xf numFmtId="0" fontId="2" fillId="0" borderId="14" xfId="0" applyFont="1" applyBorder="1" applyAlignment="1">
      <alignment horizontal="left" vertical="center"/>
    </xf>
    <xf numFmtId="0" fontId="2" fillId="0" borderId="14" xfId="0" applyFont="1" applyBorder="1" applyAlignment="1">
      <alignment horizontal="left"/>
    </xf>
    <xf numFmtId="164" fontId="50" fillId="0" borderId="12" xfId="2" applyNumberFormat="1" applyFont="1" applyBorder="1" applyAlignment="1" applyProtection="1">
      <alignment horizontal="left"/>
    </xf>
    <xf numFmtId="165" fontId="4" fillId="0" borderId="14" xfId="0" applyNumberFormat="1" applyFont="1" applyBorder="1" applyAlignment="1">
      <alignment horizontal="center"/>
    </xf>
    <xf numFmtId="165" fontId="4" fillId="0" borderId="44" xfId="0" applyNumberFormat="1" applyFont="1" applyBorder="1" applyAlignment="1">
      <alignment horizontal="center" vertical="center"/>
    </xf>
    <xf numFmtId="166" fontId="4" fillId="0" borderId="14" xfId="0" applyNumberFormat="1" applyFont="1" applyBorder="1" applyAlignment="1">
      <alignment horizontal="center"/>
    </xf>
    <xf numFmtId="0" fontId="2" fillId="0" borderId="53" xfId="0" applyFont="1" applyBorder="1" applyAlignment="1">
      <alignment horizontal="left" vertical="center"/>
    </xf>
    <xf numFmtId="0" fontId="2" fillId="5" borderId="12" xfId="0" applyFont="1" applyFill="1" applyBorder="1" applyAlignment="1">
      <alignment horizontal="center"/>
    </xf>
    <xf numFmtId="0" fontId="2" fillId="10" borderId="12" xfId="0" applyFont="1" applyFill="1" applyBorder="1" applyAlignment="1">
      <alignment horizontal="center"/>
    </xf>
    <xf numFmtId="0" fontId="2" fillId="10" borderId="44" xfId="0" applyFont="1" applyFill="1" applyBorder="1" applyAlignment="1">
      <alignment horizontal="center" vertical="center"/>
    </xf>
    <xf numFmtId="0" fontId="2" fillId="10" borderId="42" xfId="0" applyFont="1" applyFill="1" applyBorder="1" applyAlignment="1">
      <alignment horizontal="left" vertical="center"/>
    </xf>
    <xf numFmtId="164" fontId="2" fillId="10" borderId="12" xfId="2" applyNumberFormat="1" applyFont="1" applyFill="1" applyBorder="1" applyAlignment="1" applyProtection="1">
      <alignment horizontal="left"/>
    </xf>
    <xf numFmtId="0" fontId="2" fillId="10" borderId="50" xfId="0" applyFont="1" applyFill="1" applyBorder="1" applyAlignment="1">
      <alignment horizontal="left" vertical="center"/>
    </xf>
    <xf numFmtId="0" fontId="2" fillId="10" borderId="51" xfId="0" applyFont="1" applyFill="1" applyBorder="1" applyAlignment="1">
      <alignment horizontal="left" vertical="center"/>
    </xf>
    <xf numFmtId="0" fontId="2" fillId="10" borderId="14" xfId="0" applyFont="1" applyFill="1" applyBorder="1" applyAlignment="1">
      <alignment horizontal="left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30" xfId="0" applyFont="1" applyFill="1" applyBorder="1" applyAlignment="1">
      <alignment horizontal="center" vertical="center"/>
    </xf>
    <xf numFmtId="0" fontId="2" fillId="5" borderId="47" xfId="0" applyFont="1" applyFill="1" applyBorder="1" applyAlignment="1">
      <alignment horizontal="center"/>
    </xf>
    <xf numFmtId="0" fontId="2" fillId="0" borderId="54" xfId="0" applyFont="1" applyBorder="1" applyAlignment="1">
      <alignment horizontal="center" vertical="center"/>
    </xf>
    <xf numFmtId="0" fontId="2" fillId="0" borderId="54" xfId="0" applyFont="1" applyBorder="1" applyAlignment="1">
      <alignment horizontal="left"/>
    </xf>
    <xf numFmtId="165" fontId="4" fillId="5" borderId="11" xfId="0" applyNumberFormat="1" applyFont="1" applyFill="1" applyBorder="1" applyAlignment="1">
      <alignment horizontal="center" vertical="center"/>
    </xf>
    <xf numFmtId="165" fontId="4" fillId="5" borderId="55" xfId="0" applyNumberFormat="1" applyFont="1" applyFill="1" applyBorder="1" applyAlignment="1">
      <alignment horizontal="center" vertical="center"/>
    </xf>
    <xf numFmtId="165" fontId="4" fillId="5" borderId="49" xfId="0" applyNumberFormat="1" applyFont="1" applyFill="1" applyBorder="1" applyAlignment="1">
      <alignment horizontal="center" vertical="center"/>
    </xf>
    <xf numFmtId="166" fontId="4" fillId="5" borderId="11" xfId="0" applyNumberFormat="1" applyFont="1" applyFill="1" applyBorder="1" applyAlignment="1">
      <alignment horizontal="center"/>
    </xf>
    <xf numFmtId="165" fontId="4" fillId="5" borderId="11" xfId="5" applyNumberFormat="1" applyFont="1" applyFill="1" applyBorder="1" applyAlignment="1">
      <alignment horizontal="center" vertical="center"/>
    </xf>
    <xf numFmtId="165" fontId="4" fillId="5" borderId="11" xfId="0" applyNumberFormat="1" applyFont="1" applyFill="1" applyBorder="1" applyAlignment="1">
      <alignment horizontal="center"/>
    </xf>
    <xf numFmtId="165" fontId="4" fillId="0" borderId="56" xfId="0" applyNumberFormat="1" applyFont="1" applyBorder="1" applyAlignment="1">
      <alignment horizontal="center" vertical="center"/>
    </xf>
    <xf numFmtId="165" fontId="4" fillId="0" borderId="54" xfId="0" applyNumberFormat="1" applyFont="1" applyBorder="1" applyAlignment="1">
      <alignment horizontal="center" vertical="center"/>
    </xf>
    <xf numFmtId="165" fontId="4" fillId="0" borderId="14" xfId="5" applyNumberFormat="1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164" fontId="2" fillId="10" borderId="30" xfId="2" applyNumberFormat="1" applyFont="1" applyFill="1" applyBorder="1" applyAlignment="1" applyProtection="1">
      <alignment horizontal="left"/>
    </xf>
    <xf numFmtId="43" fontId="32" fillId="0" borderId="32" xfId="0" applyNumberFormat="1" applyFont="1" applyBorder="1" applyAlignment="1">
      <alignment horizontal="left" vertical="center"/>
    </xf>
    <xf numFmtId="0" fontId="2" fillId="5" borderId="12" xfId="0" applyFont="1" applyFill="1" applyBorder="1" applyAlignment="1">
      <alignment horizontal="left"/>
    </xf>
    <xf numFmtId="164" fontId="2" fillId="11" borderId="14" xfId="2" applyNumberFormat="1" applyFont="1" applyFill="1" applyBorder="1" applyAlignment="1" applyProtection="1">
      <alignment horizontal="left"/>
    </xf>
    <xf numFmtId="164" fontId="2" fillId="11" borderId="12" xfId="2" applyNumberFormat="1" applyFont="1" applyFill="1" applyBorder="1" applyAlignment="1" applyProtection="1">
      <alignment horizontal="left"/>
    </xf>
    <xf numFmtId="0" fontId="0" fillId="0" borderId="12" xfId="0" applyBorder="1">
      <alignment vertical="center"/>
    </xf>
    <xf numFmtId="4" fontId="3" fillId="0" borderId="12" xfId="2" applyNumberFormat="1" applyFont="1" applyBorder="1" applyAlignment="1" applyProtection="1"/>
    <xf numFmtId="17" fontId="7" fillId="0" borderId="1" xfId="0" quotePrefix="1" applyNumberFormat="1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7" fontId="7" fillId="0" borderId="0" xfId="0" quotePrefix="1" applyNumberFormat="1" applyFont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 vertical="center" wrapText="1"/>
    </xf>
    <xf numFmtId="4" fontId="6" fillId="0" borderId="9" xfId="0" applyNumberFormat="1" applyFont="1" applyBorder="1" applyAlignment="1">
      <alignment horizontal="center" vertical="center" wrapText="1"/>
    </xf>
    <xf numFmtId="4" fontId="6" fillId="0" borderId="12" xfId="0" applyNumberFormat="1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</cellXfs>
  <cellStyles count="6">
    <cellStyle name="Comma" xfId="1" builtinId="3"/>
    <cellStyle name="Comma 2" xfId="2" xr:uid="{00000000-0005-0000-0000-000031000000}"/>
    <cellStyle name="Comma 2 2" xfId="3" xr:uid="{00000000-0005-0000-0000-000032000000}"/>
    <cellStyle name="Normal" xfId="0" builtinId="0"/>
    <cellStyle name="Normal 2" xfId="5" xr:uid="{EFEEE0C8-77C3-4A56-9C89-21CE2C3060B1}"/>
    <cellStyle name="Normal 3" xfId="4" xr:uid="{00000000-0005-0000-0000-000033000000}"/>
  </cellStyles>
  <dxfs count="1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963569</xdr:colOff>
      <xdr:row>1</xdr:row>
      <xdr:rowOff>89075</xdr:rowOff>
    </xdr:from>
    <xdr:to>
      <xdr:col>9</xdr:col>
      <xdr:colOff>963929</xdr:colOff>
      <xdr:row>1</xdr:row>
      <xdr:rowOff>89435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595EFDE-DCBF-412A-B247-70D868FC3DBA}"/>
                </a:ext>
              </a:extLst>
            </xdr14:cNvPr>
            <xdr14:cNvContentPartPr/>
          </xdr14:nvContentPartPr>
          <xdr14:nvPr macro=""/>
          <xdr14:xfrm>
            <a:off x="11127304" y="4028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1FEA5D2-DB2A-C982-1C7C-7394F0229DF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118304" y="394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963569</xdr:colOff>
      <xdr:row>1</xdr:row>
      <xdr:rowOff>89075</xdr:rowOff>
    </xdr:from>
    <xdr:to>
      <xdr:col>9</xdr:col>
      <xdr:colOff>963929</xdr:colOff>
      <xdr:row>1</xdr:row>
      <xdr:rowOff>89435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109CE6F-BBD5-481F-86F8-B4F13CFA2222}"/>
                </a:ext>
              </a:extLst>
            </xdr14:cNvPr>
            <xdr14:cNvContentPartPr/>
          </xdr14:nvContentPartPr>
          <xdr14:nvPr macro=""/>
          <xdr14:xfrm>
            <a:off x="11127304" y="4028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1FEA5D2-DB2A-C982-1C7C-7394F0229DF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118304" y="394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963569</xdr:colOff>
      <xdr:row>1</xdr:row>
      <xdr:rowOff>89075</xdr:rowOff>
    </xdr:from>
    <xdr:to>
      <xdr:col>9</xdr:col>
      <xdr:colOff>963929</xdr:colOff>
      <xdr:row>1</xdr:row>
      <xdr:rowOff>89435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F5EAB0B-F5D6-44DF-947A-9DA5EC7F3A66}"/>
                </a:ext>
              </a:extLst>
            </xdr14:cNvPr>
            <xdr14:cNvContentPartPr/>
          </xdr14:nvContentPartPr>
          <xdr14:nvPr macro=""/>
          <xdr14:xfrm>
            <a:off x="11127304" y="4028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1FEA5D2-DB2A-C982-1C7C-7394F0229DF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118304" y="394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963569</xdr:colOff>
      <xdr:row>0</xdr:row>
      <xdr:rowOff>89075</xdr:rowOff>
    </xdr:from>
    <xdr:to>
      <xdr:col>9</xdr:col>
      <xdr:colOff>963929</xdr:colOff>
      <xdr:row>0</xdr:row>
      <xdr:rowOff>89075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07C3CDB-1CB2-40DC-B3CF-40DBE68E69D5}"/>
                </a:ext>
              </a:extLst>
            </xdr14:cNvPr>
            <xdr14:cNvContentPartPr/>
          </xdr14:nvContentPartPr>
          <xdr14:nvPr macro=""/>
          <xdr14:xfrm>
            <a:off x="11127304" y="4028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1FEA5D2-DB2A-C982-1C7C-7394F0229DF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118304" y="394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963569</xdr:colOff>
      <xdr:row>0</xdr:row>
      <xdr:rowOff>89075</xdr:rowOff>
    </xdr:from>
    <xdr:to>
      <xdr:col>9</xdr:col>
      <xdr:colOff>963929</xdr:colOff>
      <xdr:row>0</xdr:row>
      <xdr:rowOff>89075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E626C87-5F24-4A65-9406-E0B8972099AB}"/>
                </a:ext>
              </a:extLst>
            </xdr14:cNvPr>
            <xdr14:cNvContentPartPr/>
          </xdr14:nvContentPartPr>
          <xdr14:nvPr macro=""/>
          <xdr14:xfrm>
            <a:off x="11127304" y="4028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1FEA5D2-DB2A-C982-1C7C-7394F0229DF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118304" y="394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0:02:00.056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0"/>
      <inkml:brushProperty name="anchorY" value="0"/>
      <inkml:brushProperty name="scaleFactor" value="0.5"/>
    </inkml:brush>
  </inkml:definitions>
  <inkml:trace contextRef="#ctx0" brushRef="#br0">0 1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2T11:57:26.956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0"/>
      <inkml:brushProperty name="anchorY" value="0"/>
      <inkml:brushProperty name="scaleFactor" value="0.5"/>
    </inkml:brush>
  </inkml:definitions>
  <inkml:trace contextRef="#ctx0" brushRef="#br0">0 1 24575,'0'0'0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2T06:40:11.468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0"/>
      <inkml:brushProperty name="anchorY" value="0"/>
      <inkml:brushProperty name="scaleFactor" value="0.5"/>
    </inkml:brush>
  </inkml:definitions>
  <inkml:trace contextRef="#ctx0" brushRef="#br0">0 1 24575,'0'0'0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7:34:38.144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0"/>
      <inkml:brushProperty name="anchorY" value="0"/>
      <inkml:brushProperty name="scaleFactor" value="0.5"/>
    </inkml:brush>
  </inkml:definitions>
  <inkml:trace contextRef="#ctx0" brushRef="#br0">0 1 24575,'0'0'0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5T08:03:04.339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0"/>
      <inkml:brushProperty name="anchorY" value="0"/>
      <inkml:brushProperty name="scaleFactor" value="0.5"/>
    </inkml:brush>
  </inkml:definitions>
  <inkml:trace contextRef="#ctx0" brushRef="#br0">0 1 24575,'0'0'0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Rosabelle Tolores" id="{7C0F57BF-83DD-467F-83F1-E5EBDFAB11EF}" userId="S::info.hq@neweast.co::485bf276-e85c-4377-b685-dd24b1d753e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14" dT="2025-10-09T04:09:03.43" personId="{7C0F57BF-83DD-467F-83F1-E5EBDFAB11EF}" id="{5BFB5C81-6761-46E8-BA06-458D1D5F2F20}">
    <text>Isuru old sim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27" dT="2025-10-09T04:09:03.43" personId="{7C0F57BF-83DD-467F-83F1-E5EBDFAB11EF}" id="{2910BAA7-15E1-49E0-930B-5FDBA58966DE}">
    <text>Isuru old sim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32" dT="2025-10-09T04:09:03.43" personId="{7C0F57BF-83DD-467F-83F1-E5EBDFAB11EF}" id="{3399A1CA-E340-40C6-8689-6A617D346303}">
    <text>Isuru old sim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6:F56"/>
  <sheetViews>
    <sheetView topLeftCell="A5" zoomScale="130" zoomScaleNormal="130" workbookViewId="0">
      <selection activeCell="C13" sqref="C13"/>
    </sheetView>
  </sheetViews>
  <sheetFormatPr defaultColWidth="10" defaultRowHeight="15"/>
  <cols>
    <col min="2" max="2" width="16.625" customWidth="1"/>
    <col min="3" max="3" width="19.25" customWidth="1"/>
    <col min="5" max="6" width="36" customWidth="1"/>
  </cols>
  <sheetData>
    <row r="6" spans="2:6">
      <c r="B6" s="103" t="s">
        <v>0</v>
      </c>
      <c r="C6" s="104" t="s">
        <v>1</v>
      </c>
      <c r="E6" s="105" t="s">
        <v>0</v>
      </c>
      <c r="F6" s="106" t="s">
        <v>2</v>
      </c>
    </row>
    <row r="7" spans="2:6">
      <c r="B7" s="23" t="s">
        <v>3</v>
      </c>
      <c r="C7" s="107" t="s">
        <v>4</v>
      </c>
      <c r="E7" s="108"/>
      <c r="F7" s="109"/>
    </row>
    <row r="8" spans="2:6">
      <c r="B8" s="23" t="s">
        <v>5</v>
      </c>
      <c r="C8" s="107" t="s">
        <v>6</v>
      </c>
      <c r="E8" s="110" t="s">
        <v>5</v>
      </c>
      <c r="F8" s="111" t="s">
        <v>7</v>
      </c>
    </row>
    <row r="9" spans="2:6">
      <c r="B9" s="23" t="s">
        <v>8</v>
      </c>
      <c r="C9" s="107" t="s">
        <v>9</v>
      </c>
      <c r="E9" s="110" t="s">
        <v>8</v>
      </c>
      <c r="F9" s="109" t="s">
        <v>10</v>
      </c>
    </row>
    <row r="10" spans="2:6">
      <c r="B10" s="103" t="s">
        <v>11</v>
      </c>
      <c r="C10" s="107" t="s">
        <v>12</v>
      </c>
      <c r="E10" s="108" t="s">
        <v>11</v>
      </c>
      <c r="F10" s="111" t="s">
        <v>13</v>
      </c>
    </row>
    <row r="11" spans="2:6">
      <c r="B11" s="23" t="s">
        <v>14</v>
      </c>
      <c r="C11" s="107" t="s">
        <v>15</v>
      </c>
      <c r="E11" s="110" t="s">
        <v>14</v>
      </c>
      <c r="F11" s="111" t="s">
        <v>16</v>
      </c>
    </row>
    <row r="12" spans="2:6">
      <c r="B12" s="23" t="s">
        <v>17</v>
      </c>
      <c r="C12" s="107" t="s">
        <v>18</v>
      </c>
      <c r="E12" s="110" t="s">
        <v>17</v>
      </c>
      <c r="F12" s="111" t="s">
        <v>19</v>
      </c>
    </row>
    <row r="13" spans="2:6">
      <c r="B13" s="103" t="s">
        <v>20</v>
      </c>
      <c r="C13" s="107" t="s">
        <v>21</v>
      </c>
      <c r="E13" s="108" t="s">
        <v>20</v>
      </c>
      <c r="F13" s="111" t="s">
        <v>22</v>
      </c>
    </row>
    <row r="14" spans="2:6">
      <c r="B14" s="23" t="s">
        <v>23</v>
      </c>
      <c r="C14" s="107" t="s">
        <v>24</v>
      </c>
      <c r="E14" s="110" t="s">
        <v>23</v>
      </c>
      <c r="F14" s="111" t="s">
        <v>25</v>
      </c>
    </row>
    <row r="15" spans="2:6">
      <c r="B15" s="23" t="s">
        <v>26</v>
      </c>
      <c r="C15" s="107" t="s">
        <v>27</v>
      </c>
      <c r="E15" s="110" t="s">
        <v>26</v>
      </c>
      <c r="F15" s="111" t="s">
        <v>28</v>
      </c>
    </row>
    <row r="16" spans="2:6">
      <c r="B16" s="23" t="s">
        <v>29</v>
      </c>
      <c r="C16" s="107" t="s">
        <v>30</v>
      </c>
      <c r="E16" s="110" t="s">
        <v>29</v>
      </c>
      <c r="F16" s="111" t="s">
        <v>31</v>
      </c>
    </row>
    <row r="17" spans="2:6">
      <c r="B17" s="23" t="s">
        <v>32</v>
      </c>
      <c r="C17" s="107" t="s">
        <v>33</v>
      </c>
      <c r="E17" s="110" t="s">
        <v>32</v>
      </c>
      <c r="F17" s="111" t="s">
        <v>34</v>
      </c>
    </row>
    <row r="18" spans="2:6">
      <c r="B18" s="23" t="s">
        <v>35</v>
      </c>
      <c r="C18" s="104" t="s">
        <v>36</v>
      </c>
      <c r="E18" s="110" t="s">
        <v>35</v>
      </c>
      <c r="F18" s="111" t="s">
        <v>37</v>
      </c>
    </row>
    <row r="19" spans="2:6">
      <c r="B19" s="103" t="s">
        <v>38</v>
      </c>
      <c r="C19" s="104" t="s">
        <v>39</v>
      </c>
      <c r="E19" s="108" t="s">
        <v>38</v>
      </c>
      <c r="F19" s="109" t="s">
        <v>40</v>
      </c>
    </row>
    <row r="20" spans="2:6">
      <c r="B20" s="103" t="s">
        <v>41</v>
      </c>
      <c r="C20" s="104" t="s">
        <v>42</v>
      </c>
      <c r="E20" s="108" t="s">
        <v>41</v>
      </c>
      <c r="F20" s="112" t="s">
        <v>43</v>
      </c>
    </row>
    <row r="21" spans="2:6">
      <c r="B21" s="103" t="s">
        <v>44</v>
      </c>
      <c r="C21" s="104" t="s">
        <v>45</v>
      </c>
      <c r="E21" s="108" t="s">
        <v>44</v>
      </c>
      <c r="F21" s="112" t="s">
        <v>46</v>
      </c>
    </row>
    <row r="22" spans="2:6">
      <c r="B22" s="103" t="s">
        <v>47</v>
      </c>
      <c r="C22" s="104" t="s">
        <v>48</v>
      </c>
      <c r="E22" s="108" t="s">
        <v>47</v>
      </c>
      <c r="F22" s="111" t="s">
        <v>49</v>
      </c>
    </row>
    <row r="23" spans="2:6">
      <c r="B23" s="103" t="s">
        <v>50</v>
      </c>
      <c r="C23" s="104" t="s">
        <v>10</v>
      </c>
      <c r="E23" s="108" t="s">
        <v>50</v>
      </c>
      <c r="F23" s="113" t="s">
        <v>10</v>
      </c>
    </row>
    <row r="24" spans="2:6">
      <c r="B24" s="103" t="s">
        <v>51</v>
      </c>
      <c r="C24" s="104" t="s">
        <v>52</v>
      </c>
      <c r="E24" s="108" t="s">
        <v>51</v>
      </c>
      <c r="F24" s="111" t="s">
        <v>53</v>
      </c>
    </row>
    <row r="25" spans="2:6">
      <c r="B25" s="103" t="s">
        <v>54</v>
      </c>
      <c r="C25" s="104" t="s">
        <v>55</v>
      </c>
      <c r="E25" s="108" t="s">
        <v>54</v>
      </c>
      <c r="F25" s="109" t="s">
        <v>56</v>
      </c>
    </row>
    <row r="26" spans="2:6">
      <c r="B26" s="103" t="s">
        <v>57</v>
      </c>
      <c r="C26" s="104" t="s">
        <v>58</v>
      </c>
      <c r="E26" s="108" t="s">
        <v>57</v>
      </c>
      <c r="F26" s="111" t="s">
        <v>59</v>
      </c>
    </row>
    <row r="27" spans="2:6">
      <c r="B27" s="103" t="s">
        <v>60</v>
      </c>
      <c r="C27" s="104" t="s">
        <v>61</v>
      </c>
      <c r="E27" s="108" t="s">
        <v>60</v>
      </c>
      <c r="F27" s="111" t="s">
        <v>62</v>
      </c>
    </row>
    <row r="28" spans="2:6">
      <c r="B28" s="103" t="s">
        <v>63</v>
      </c>
      <c r="C28" s="104" t="s">
        <v>64</v>
      </c>
      <c r="E28" s="108" t="s">
        <v>63</v>
      </c>
      <c r="F28" s="111" t="s">
        <v>65</v>
      </c>
    </row>
    <row r="29" spans="2:6">
      <c r="B29" s="103" t="s">
        <v>66</v>
      </c>
      <c r="C29" s="104" t="s">
        <v>67</v>
      </c>
      <c r="E29" s="108" t="s">
        <v>66</v>
      </c>
      <c r="F29" s="109" t="s">
        <v>68</v>
      </c>
    </row>
    <row r="30" spans="2:6">
      <c r="B30" s="103" t="s">
        <v>69</v>
      </c>
      <c r="C30" s="104" t="s">
        <v>70</v>
      </c>
      <c r="E30" s="108" t="s">
        <v>69</v>
      </c>
      <c r="F30" s="111" t="s">
        <v>40</v>
      </c>
    </row>
    <row r="31" spans="2:6">
      <c r="B31" s="103" t="s">
        <v>71</v>
      </c>
      <c r="C31" s="104" t="s">
        <v>72</v>
      </c>
      <c r="E31" s="108" t="s">
        <v>71</v>
      </c>
      <c r="F31" s="111" t="s">
        <v>40</v>
      </c>
    </row>
    <row r="32" spans="2:6">
      <c r="B32" s="114">
        <v>11.89</v>
      </c>
      <c r="C32" s="114"/>
    </row>
    <row r="33" spans="2:3">
      <c r="B33" s="114">
        <v>5.24</v>
      </c>
      <c r="C33" s="114"/>
    </row>
    <row r="34" spans="2:3">
      <c r="B34" s="114">
        <v>2.56</v>
      </c>
      <c r="C34" s="114"/>
    </row>
    <row r="35" spans="2:3">
      <c r="B35" s="114">
        <v>0.08</v>
      </c>
      <c r="C35" s="114"/>
    </row>
    <row r="36" spans="2:3">
      <c r="B36" s="114">
        <v>2</v>
      </c>
      <c r="C36" s="114"/>
    </row>
    <row r="37" spans="2:3">
      <c r="B37" s="114">
        <v>1.04</v>
      </c>
      <c r="C37" s="114"/>
    </row>
    <row r="38" spans="2:3">
      <c r="B38" s="114">
        <v>1.56</v>
      </c>
      <c r="C38" s="114"/>
    </row>
    <row r="39" spans="2:3">
      <c r="B39" s="114">
        <v>0.48</v>
      </c>
      <c r="C39" s="114"/>
    </row>
    <row r="40" spans="2:3">
      <c r="B40" s="114">
        <v>6.96</v>
      </c>
      <c r="C40" s="114"/>
    </row>
    <row r="41" spans="2:3">
      <c r="B41" s="114">
        <v>24.12</v>
      </c>
      <c r="C41" s="114"/>
    </row>
    <row r="42" spans="2:3">
      <c r="B42" s="114">
        <v>13.4</v>
      </c>
      <c r="C42" s="114"/>
    </row>
    <row r="43" spans="2:3">
      <c r="B43" s="114">
        <v>0.04</v>
      </c>
      <c r="C43" s="114"/>
    </row>
    <row r="44" spans="2:3">
      <c r="B44" s="114">
        <v>2.16</v>
      </c>
      <c r="C44" s="114"/>
    </row>
    <row r="45" spans="2:3">
      <c r="B45" s="114">
        <v>7.76</v>
      </c>
      <c r="C45" s="114"/>
    </row>
    <row r="46" spans="2:3">
      <c r="B46" s="114">
        <v>3.56</v>
      </c>
      <c r="C46" s="114"/>
    </row>
    <row r="47" spans="2:3">
      <c r="B47" s="114">
        <v>0.04</v>
      </c>
      <c r="C47" s="114"/>
    </row>
    <row r="48" spans="2:3">
      <c r="B48" s="114">
        <v>0.08</v>
      </c>
      <c r="C48" s="114"/>
    </row>
    <row r="49" spans="2:3">
      <c r="B49" s="114">
        <v>2.96</v>
      </c>
      <c r="C49" s="114"/>
    </row>
    <row r="50" spans="2:3">
      <c r="B50" s="114">
        <v>7.2</v>
      </c>
      <c r="C50" s="114"/>
    </row>
    <row r="51" spans="2:3">
      <c r="B51" s="114">
        <v>5.56</v>
      </c>
      <c r="C51" s="114"/>
    </row>
    <row r="52" spans="2:3">
      <c r="B52" s="114"/>
      <c r="C52" s="114"/>
    </row>
    <row r="53" spans="2:3">
      <c r="B53" s="115">
        <f>SUM(B32:B52)</f>
        <v>98.69</v>
      </c>
      <c r="C53" s="115">
        <f>SUM(C32:C52)</f>
        <v>0</v>
      </c>
    </row>
    <row r="54" spans="2:3">
      <c r="B54" s="114"/>
    </row>
    <row r="55" spans="2:3">
      <c r="B55" s="114"/>
    </row>
    <row r="56" spans="2:3">
      <c r="B56" s="114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3:D164"/>
  <sheetViews>
    <sheetView zoomScale="70" zoomScaleNormal="70" workbookViewId="0">
      <selection activeCell="H148" sqref="H148"/>
    </sheetView>
  </sheetViews>
  <sheetFormatPr defaultColWidth="10" defaultRowHeight="15"/>
  <cols>
    <col min="2" max="2" width="18.875" customWidth="1"/>
    <col min="3" max="3" width="35.375" customWidth="1"/>
    <col min="4" max="4" width="18.875" customWidth="1"/>
  </cols>
  <sheetData>
    <row r="3" spans="2:4" ht="18" customHeight="1">
      <c r="B3" s="102" t="s">
        <v>73</v>
      </c>
      <c r="C3" s="102" t="s">
        <v>74</v>
      </c>
      <c r="D3" s="102" t="s">
        <v>75</v>
      </c>
    </row>
    <row r="4" spans="2:4" ht="18" customHeight="1">
      <c r="B4" s="102" t="s">
        <v>76</v>
      </c>
      <c r="C4" s="102" t="s">
        <v>77</v>
      </c>
      <c r="D4" s="102" t="s">
        <v>75</v>
      </c>
    </row>
    <row r="5" spans="2:4" ht="18" customHeight="1">
      <c r="B5" s="102" t="s">
        <v>78</v>
      </c>
      <c r="C5" s="102" t="s">
        <v>79</v>
      </c>
      <c r="D5" s="102" t="s">
        <v>80</v>
      </c>
    </row>
    <row r="6" spans="2:4" ht="18" customHeight="1">
      <c r="B6" s="102" t="s">
        <v>81</v>
      </c>
      <c r="C6" s="102" t="s">
        <v>82</v>
      </c>
      <c r="D6" s="102" t="s">
        <v>75</v>
      </c>
    </row>
    <row r="7" spans="2:4" ht="18" customHeight="1">
      <c r="B7" s="102" t="s">
        <v>83</v>
      </c>
      <c r="C7" s="102" t="s">
        <v>84</v>
      </c>
      <c r="D7" s="102" t="s">
        <v>75</v>
      </c>
    </row>
    <row r="8" spans="2:4" ht="18" customHeight="1">
      <c r="B8" s="102" t="s">
        <v>85</v>
      </c>
      <c r="C8" s="102" t="s">
        <v>86</v>
      </c>
      <c r="D8" s="102" t="s">
        <v>87</v>
      </c>
    </row>
    <row r="9" spans="2:4" ht="18" customHeight="1">
      <c r="B9" s="102" t="s">
        <v>88</v>
      </c>
      <c r="C9" s="102" t="s">
        <v>89</v>
      </c>
      <c r="D9" s="102" t="s">
        <v>75</v>
      </c>
    </row>
    <row r="10" spans="2:4" ht="18" customHeight="1">
      <c r="B10" s="102" t="s">
        <v>90</v>
      </c>
      <c r="C10" s="102" t="s">
        <v>91</v>
      </c>
      <c r="D10" s="102" t="s">
        <v>75</v>
      </c>
    </row>
    <row r="11" spans="2:4" ht="18" customHeight="1">
      <c r="B11" s="102" t="s">
        <v>92</v>
      </c>
      <c r="C11" s="102" t="s">
        <v>93</v>
      </c>
      <c r="D11" s="102" t="s">
        <v>75</v>
      </c>
    </row>
    <row r="12" spans="2:4" ht="18" customHeight="1">
      <c r="B12" s="102" t="s">
        <v>94</v>
      </c>
      <c r="C12" s="102" t="s">
        <v>95</v>
      </c>
      <c r="D12" s="102" t="s">
        <v>75</v>
      </c>
    </row>
    <row r="13" spans="2:4" ht="18" customHeight="1">
      <c r="B13" s="102" t="s">
        <v>96</v>
      </c>
      <c r="C13" s="102" t="s">
        <v>97</v>
      </c>
      <c r="D13" s="102" t="s">
        <v>75</v>
      </c>
    </row>
    <row r="14" spans="2:4" ht="18" customHeight="1">
      <c r="B14" s="102" t="s">
        <v>98</v>
      </c>
      <c r="C14" s="102" t="s">
        <v>99</v>
      </c>
      <c r="D14" s="102" t="s">
        <v>75</v>
      </c>
    </row>
    <row r="15" spans="2:4" ht="18" customHeight="1">
      <c r="B15" s="102" t="s">
        <v>100</v>
      </c>
      <c r="C15" s="102" t="s">
        <v>101</v>
      </c>
      <c r="D15" s="102" t="s">
        <v>87</v>
      </c>
    </row>
    <row r="16" spans="2:4" ht="18" customHeight="1">
      <c r="B16" s="102" t="s">
        <v>102</v>
      </c>
      <c r="C16" s="102" t="s">
        <v>103</v>
      </c>
      <c r="D16" s="102" t="s">
        <v>75</v>
      </c>
    </row>
    <row r="17" spans="2:4" ht="18" customHeight="1">
      <c r="B17" s="102" t="s">
        <v>104</v>
      </c>
      <c r="C17" s="102" t="s">
        <v>105</v>
      </c>
      <c r="D17" s="102" t="s">
        <v>87</v>
      </c>
    </row>
    <row r="18" spans="2:4" ht="18" customHeight="1">
      <c r="B18" s="102" t="s">
        <v>106</v>
      </c>
      <c r="C18" s="102" t="s">
        <v>107</v>
      </c>
      <c r="D18" s="102" t="s">
        <v>75</v>
      </c>
    </row>
    <row r="19" spans="2:4" ht="18" customHeight="1">
      <c r="B19" s="102" t="s">
        <v>108</v>
      </c>
      <c r="C19" s="102" t="s">
        <v>109</v>
      </c>
      <c r="D19" s="102" t="s">
        <v>75</v>
      </c>
    </row>
    <row r="20" spans="2:4" ht="18" customHeight="1">
      <c r="B20" s="102" t="s">
        <v>110</v>
      </c>
      <c r="C20" s="102" t="s">
        <v>111</v>
      </c>
      <c r="D20" s="102" t="s">
        <v>75</v>
      </c>
    </row>
    <row r="21" spans="2:4" ht="18" customHeight="1">
      <c r="B21" s="102" t="s">
        <v>112</v>
      </c>
      <c r="C21" s="102" t="s">
        <v>113</v>
      </c>
      <c r="D21" s="102" t="s">
        <v>87</v>
      </c>
    </row>
    <row r="22" spans="2:4" ht="18" customHeight="1">
      <c r="B22" s="102" t="s">
        <v>114</v>
      </c>
      <c r="C22" s="102" t="s">
        <v>115</v>
      </c>
      <c r="D22" s="102" t="s">
        <v>75</v>
      </c>
    </row>
    <row r="23" spans="2:4" ht="18" customHeight="1">
      <c r="B23" s="102" t="s">
        <v>116</v>
      </c>
      <c r="C23" s="102" t="s">
        <v>117</v>
      </c>
      <c r="D23" s="102" t="s">
        <v>87</v>
      </c>
    </row>
    <row r="24" spans="2:4" ht="18" customHeight="1">
      <c r="B24" s="102" t="s">
        <v>118</v>
      </c>
      <c r="C24" s="102" t="s">
        <v>119</v>
      </c>
      <c r="D24" s="102" t="s">
        <v>87</v>
      </c>
    </row>
    <row r="25" spans="2:4" ht="18" customHeight="1">
      <c r="B25" s="102" t="s">
        <v>120</v>
      </c>
      <c r="C25" s="102" t="s">
        <v>121</v>
      </c>
      <c r="D25" s="102" t="s">
        <v>75</v>
      </c>
    </row>
    <row r="26" spans="2:4" ht="18" customHeight="1">
      <c r="B26" s="102" t="s">
        <v>122</v>
      </c>
      <c r="C26" s="102" t="s">
        <v>123</v>
      </c>
      <c r="D26" s="102" t="s">
        <v>87</v>
      </c>
    </row>
    <row r="27" spans="2:4" ht="18" customHeight="1">
      <c r="B27" s="102" t="s">
        <v>124</v>
      </c>
      <c r="C27" s="102" t="s">
        <v>125</v>
      </c>
      <c r="D27" s="102" t="s">
        <v>126</v>
      </c>
    </row>
    <row r="28" spans="2:4" ht="18" customHeight="1">
      <c r="B28" s="102" t="s">
        <v>127</v>
      </c>
      <c r="C28" s="102" t="s">
        <v>128</v>
      </c>
      <c r="D28" s="102" t="s">
        <v>126</v>
      </c>
    </row>
    <row r="29" spans="2:4" ht="18" customHeight="1">
      <c r="B29" s="102" t="s">
        <v>129</v>
      </c>
      <c r="C29" s="102" t="s">
        <v>130</v>
      </c>
      <c r="D29" s="102" t="s">
        <v>75</v>
      </c>
    </row>
    <row r="30" spans="2:4" ht="18" customHeight="1">
      <c r="B30" s="102" t="s">
        <v>131</v>
      </c>
      <c r="C30" s="102" t="s">
        <v>132</v>
      </c>
      <c r="D30" s="102" t="s">
        <v>126</v>
      </c>
    </row>
    <row r="31" spans="2:4" ht="18" customHeight="1">
      <c r="B31" s="102" t="s">
        <v>133</v>
      </c>
      <c r="C31" s="102" t="s">
        <v>134</v>
      </c>
      <c r="D31" s="102" t="s">
        <v>126</v>
      </c>
    </row>
    <row r="32" spans="2:4" ht="18" customHeight="1">
      <c r="B32" s="102" t="s">
        <v>135</v>
      </c>
      <c r="C32" s="102" t="s">
        <v>136</v>
      </c>
      <c r="D32" s="102" t="s">
        <v>126</v>
      </c>
    </row>
    <row r="33" spans="2:4" ht="18" customHeight="1">
      <c r="B33" s="102" t="s">
        <v>137</v>
      </c>
      <c r="C33" s="102" t="s">
        <v>138</v>
      </c>
      <c r="D33" s="102" t="s">
        <v>126</v>
      </c>
    </row>
    <row r="34" spans="2:4" ht="18" customHeight="1">
      <c r="B34" s="102" t="s">
        <v>139</v>
      </c>
      <c r="C34" s="102" t="s">
        <v>140</v>
      </c>
      <c r="D34" s="102" t="s">
        <v>126</v>
      </c>
    </row>
    <row r="35" spans="2:4" ht="18" customHeight="1">
      <c r="B35" s="102" t="s">
        <v>141</v>
      </c>
      <c r="C35" s="102" t="s">
        <v>142</v>
      </c>
      <c r="D35" s="102" t="s">
        <v>75</v>
      </c>
    </row>
    <row r="36" spans="2:4" ht="18" customHeight="1">
      <c r="B36" s="102" t="s">
        <v>143</v>
      </c>
      <c r="C36" s="102" t="s">
        <v>144</v>
      </c>
      <c r="D36" s="102" t="s">
        <v>75</v>
      </c>
    </row>
    <row r="37" spans="2:4" ht="18" customHeight="1">
      <c r="B37" s="102" t="s">
        <v>145</v>
      </c>
      <c r="C37" s="102" t="s">
        <v>146</v>
      </c>
      <c r="D37" s="102" t="s">
        <v>147</v>
      </c>
    </row>
    <row r="38" spans="2:4" ht="18" customHeight="1">
      <c r="B38" s="102" t="s">
        <v>148</v>
      </c>
      <c r="C38" s="102" t="s">
        <v>149</v>
      </c>
      <c r="D38" s="102" t="s">
        <v>75</v>
      </c>
    </row>
    <row r="39" spans="2:4" ht="18" customHeight="1">
      <c r="B39" s="102" t="s">
        <v>150</v>
      </c>
      <c r="C39" s="102" t="s">
        <v>151</v>
      </c>
      <c r="D39" s="102" t="s">
        <v>75</v>
      </c>
    </row>
    <row r="40" spans="2:4" ht="18" customHeight="1">
      <c r="B40" s="102" t="s">
        <v>152</v>
      </c>
      <c r="C40" s="102" t="s">
        <v>153</v>
      </c>
      <c r="D40" s="102" t="s">
        <v>87</v>
      </c>
    </row>
    <row r="41" spans="2:4" ht="18" customHeight="1">
      <c r="B41" s="102" t="s">
        <v>154</v>
      </c>
      <c r="C41" s="102" t="s">
        <v>155</v>
      </c>
      <c r="D41" s="102" t="s">
        <v>87</v>
      </c>
    </row>
    <row r="42" spans="2:4" ht="18" customHeight="1">
      <c r="B42" s="102" t="s">
        <v>156</v>
      </c>
      <c r="C42" s="102" t="s">
        <v>157</v>
      </c>
      <c r="D42" s="102" t="s">
        <v>87</v>
      </c>
    </row>
    <row r="43" spans="2:4" ht="18" customHeight="1">
      <c r="B43" s="102" t="s">
        <v>158</v>
      </c>
      <c r="C43" s="102" t="s">
        <v>159</v>
      </c>
      <c r="D43" s="102" t="s">
        <v>87</v>
      </c>
    </row>
    <row r="44" spans="2:4" ht="18" customHeight="1">
      <c r="B44" s="102" t="s">
        <v>160</v>
      </c>
      <c r="C44" s="102" t="s">
        <v>161</v>
      </c>
      <c r="D44" s="102" t="s">
        <v>87</v>
      </c>
    </row>
    <row r="45" spans="2:4" ht="18" customHeight="1">
      <c r="B45" s="102" t="s">
        <v>162</v>
      </c>
      <c r="C45" s="102" t="s">
        <v>163</v>
      </c>
      <c r="D45" s="102" t="s">
        <v>87</v>
      </c>
    </row>
    <row r="46" spans="2:4" ht="18" customHeight="1">
      <c r="B46" s="102" t="s">
        <v>164</v>
      </c>
      <c r="C46" s="102" t="s">
        <v>165</v>
      </c>
      <c r="D46" s="102" t="s">
        <v>87</v>
      </c>
    </row>
    <row r="47" spans="2:4" ht="18" customHeight="1">
      <c r="B47" s="102" t="s">
        <v>166</v>
      </c>
      <c r="C47" s="102" t="s">
        <v>167</v>
      </c>
      <c r="D47" s="102" t="s">
        <v>87</v>
      </c>
    </row>
    <row r="48" spans="2:4" ht="18" customHeight="1">
      <c r="B48" s="102" t="s">
        <v>168</v>
      </c>
      <c r="C48" s="102" t="s">
        <v>169</v>
      </c>
      <c r="D48" s="102" t="s">
        <v>87</v>
      </c>
    </row>
    <row r="49" spans="2:4" ht="18" customHeight="1">
      <c r="B49" s="102" t="s">
        <v>170</v>
      </c>
      <c r="C49" s="102" t="s">
        <v>171</v>
      </c>
      <c r="D49" s="102" t="s">
        <v>87</v>
      </c>
    </row>
    <row r="50" spans="2:4" ht="18" customHeight="1">
      <c r="B50" s="102" t="s">
        <v>172</v>
      </c>
      <c r="C50" s="102" t="s">
        <v>173</v>
      </c>
      <c r="D50" s="102" t="s">
        <v>87</v>
      </c>
    </row>
    <row r="51" spans="2:4" ht="18" customHeight="1">
      <c r="B51" s="102" t="s">
        <v>174</v>
      </c>
      <c r="C51" s="102" t="s">
        <v>175</v>
      </c>
      <c r="D51" s="102" t="s">
        <v>87</v>
      </c>
    </row>
    <row r="52" spans="2:4" ht="18" customHeight="1">
      <c r="B52" s="102" t="s">
        <v>176</v>
      </c>
      <c r="C52" s="102" t="s">
        <v>177</v>
      </c>
      <c r="D52" s="102" t="s">
        <v>87</v>
      </c>
    </row>
    <row r="53" spans="2:4" ht="18" customHeight="1">
      <c r="B53" s="102" t="s">
        <v>178</v>
      </c>
      <c r="C53" s="102" t="s">
        <v>179</v>
      </c>
      <c r="D53" s="102" t="s">
        <v>87</v>
      </c>
    </row>
    <row r="54" spans="2:4" ht="18" customHeight="1">
      <c r="B54" s="102" t="s">
        <v>180</v>
      </c>
      <c r="C54" s="102" t="s">
        <v>181</v>
      </c>
      <c r="D54" s="102" t="s">
        <v>87</v>
      </c>
    </row>
    <row r="55" spans="2:4" ht="18" customHeight="1">
      <c r="B55" s="102" t="s">
        <v>182</v>
      </c>
      <c r="C55" s="102" t="s">
        <v>183</v>
      </c>
      <c r="D55" s="102" t="s">
        <v>87</v>
      </c>
    </row>
    <row r="56" spans="2:4" ht="18" customHeight="1">
      <c r="B56" s="102" t="s">
        <v>184</v>
      </c>
      <c r="C56" s="102" t="s">
        <v>185</v>
      </c>
      <c r="D56" s="102" t="s">
        <v>75</v>
      </c>
    </row>
    <row r="57" spans="2:4" ht="18" customHeight="1">
      <c r="B57" s="102" t="s">
        <v>186</v>
      </c>
      <c r="C57" s="102" t="s">
        <v>187</v>
      </c>
      <c r="D57" s="102" t="s">
        <v>75</v>
      </c>
    </row>
    <row r="58" spans="2:4" ht="18" customHeight="1">
      <c r="B58" s="102" t="s">
        <v>188</v>
      </c>
      <c r="C58" s="102" t="s">
        <v>189</v>
      </c>
      <c r="D58" s="102" t="s">
        <v>87</v>
      </c>
    </row>
    <row r="59" spans="2:4" ht="18" customHeight="1">
      <c r="B59" s="102" t="s">
        <v>190</v>
      </c>
      <c r="C59" s="102" t="s">
        <v>191</v>
      </c>
      <c r="D59" s="102" t="s">
        <v>126</v>
      </c>
    </row>
    <row r="60" spans="2:4" ht="18" customHeight="1">
      <c r="B60" s="102" t="s">
        <v>192</v>
      </c>
      <c r="C60" s="102" t="s">
        <v>193</v>
      </c>
      <c r="D60" s="102" t="s">
        <v>75</v>
      </c>
    </row>
    <row r="61" spans="2:4" ht="18" customHeight="1">
      <c r="B61" s="102" t="s">
        <v>194</v>
      </c>
      <c r="C61" s="102" t="s">
        <v>195</v>
      </c>
      <c r="D61" s="102" t="s">
        <v>75</v>
      </c>
    </row>
    <row r="62" spans="2:4" ht="18" customHeight="1">
      <c r="B62" s="102" t="s">
        <v>196</v>
      </c>
      <c r="C62" s="102" t="s">
        <v>197</v>
      </c>
      <c r="D62" s="102" t="s">
        <v>198</v>
      </c>
    </row>
    <row r="63" spans="2:4" ht="18" customHeight="1">
      <c r="B63" s="102" t="s">
        <v>199</v>
      </c>
      <c r="C63" s="102" t="s">
        <v>200</v>
      </c>
      <c r="D63" s="102" t="s">
        <v>75</v>
      </c>
    </row>
    <row r="64" spans="2:4" ht="18" customHeight="1">
      <c r="B64" s="102" t="s">
        <v>201</v>
      </c>
      <c r="C64" s="102" t="s">
        <v>202</v>
      </c>
      <c r="D64" s="102" t="s">
        <v>75</v>
      </c>
    </row>
    <row r="65" spans="2:4" ht="18" customHeight="1">
      <c r="B65" s="102" t="s">
        <v>203</v>
      </c>
      <c r="C65" s="102" t="s">
        <v>204</v>
      </c>
      <c r="D65" s="102" t="s">
        <v>87</v>
      </c>
    </row>
    <row r="66" spans="2:4" ht="18" customHeight="1">
      <c r="B66" s="102" t="s">
        <v>205</v>
      </c>
      <c r="C66" s="102" t="s">
        <v>206</v>
      </c>
      <c r="D66" s="102" t="s">
        <v>87</v>
      </c>
    </row>
    <row r="67" spans="2:4" ht="18" customHeight="1">
      <c r="B67" s="102" t="s">
        <v>207</v>
      </c>
      <c r="C67" s="102" t="s">
        <v>208</v>
      </c>
      <c r="D67" s="102" t="s">
        <v>75</v>
      </c>
    </row>
    <row r="68" spans="2:4" ht="18" customHeight="1">
      <c r="B68" s="102" t="s">
        <v>209</v>
      </c>
      <c r="C68" s="102" t="s">
        <v>210</v>
      </c>
      <c r="D68" s="102" t="s">
        <v>211</v>
      </c>
    </row>
    <row r="69" spans="2:4" ht="18" customHeight="1">
      <c r="B69" s="102" t="s">
        <v>212</v>
      </c>
      <c r="C69" s="102" t="s">
        <v>213</v>
      </c>
      <c r="D69" s="102" t="s">
        <v>75</v>
      </c>
    </row>
    <row r="70" spans="2:4" ht="18" customHeight="1">
      <c r="B70" s="102" t="s">
        <v>214</v>
      </c>
      <c r="C70" s="102" t="s">
        <v>215</v>
      </c>
      <c r="D70" s="102" t="s">
        <v>75</v>
      </c>
    </row>
    <row r="71" spans="2:4" ht="18" customHeight="1">
      <c r="B71" s="102" t="s">
        <v>216</v>
      </c>
      <c r="C71" s="102" t="s">
        <v>217</v>
      </c>
      <c r="D71" s="102" t="s">
        <v>87</v>
      </c>
    </row>
    <row r="72" spans="2:4" ht="18" customHeight="1">
      <c r="B72" s="102" t="s">
        <v>218</v>
      </c>
      <c r="C72" s="102" t="s">
        <v>219</v>
      </c>
      <c r="D72" s="102" t="s">
        <v>75</v>
      </c>
    </row>
    <row r="73" spans="2:4" ht="18" customHeight="1">
      <c r="B73" s="102" t="s">
        <v>220</v>
      </c>
      <c r="C73" s="102" t="s">
        <v>221</v>
      </c>
      <c r="D73" s="102" t="s">
        <v>75</v>
      </c>
    </row>
    <row r="74" spans="2:4" ht="18" customHeight="1">
      <c r="B74" s="102" t="s">
        <v>222</v>
      </c>
      <c r="C74" s="102" t="s">
        <v>223</v>
      </c>
      <c r="D74" s="102" t="s">
        <v>75</v>
      </c>
    </row>
    <row r="75" spans="2:4" ht="18" customHeight="1">
      <c r="B75" s="102" t="s">
        <v>224</v>
      </c>
      <c r="C75" s="102" t="s">
        <v>225</v>
      </c>
      <c r="D75" s="102" t="s">
        <v>75</v>
      </c>
    </row>
    <row r="76" spans="2:4" ht="18" customHeight="1">
      <c r="B76" s="102" t="s">
        <v>226</v>
      </c>
      <c r="C76" s="102" t="s">
        <v>227</v>
      </c>
      <c r="D76" s="102" t="s">
        <v>75</v>
      </c>
    </row>
    <row r="77" spans="2:4" ht="18" customHeight="1">
      <c r="B77" s="102" t="s">
        <v>228</v>
      </c>
      <c r="C77" s="102" t="s">
        <v>229</v>
      </c>
      <c r="D77" s="102" t="s">
        <v>126</v>
      </c>
    </row>
    <row r="78" spans="2:4" ht="18" customHeight="1">
      <c r="B78" s="102" t="s">
        <v>230</v>
      </c>
      <c r="C78" s="102" t="s">
        <v>231</v>
      </c>
      <c r="D78" s="102" t="s">
        <v>126</v>
      </c>
    </row>
    <row r="79" spans="2:4" ht="18" customHeight="1">
      <c r="B79" s="102" t="s">
        <v>232</v>
      </c>
      <c r="C79" s="102" t="s">
        <v>233</v>
      </c>
      <c r="D79" s="102" t="s">
        <v>75</v>
      </c>
    </row>
    <row r="80" spans="2:4" ht="18" customHeight="1">
      <c r="B80" s="102" t="s">
        <v>234</v>
      </c>
      <c r="C80" s="102" t="s">
        <v>235</v>
      </c>
      <c r="D80" s="102" t="s">
        <v>75</v>
      </c>
    </row>
    <row r="81" spans="2:4" ht="18" customHeight="1">
      <c r="B81" s="102" t="s">
        <v>236</v>
      </c>
      <c r="C81" s="102" t="s">
        <v>237</v>
      </c>
      <c r="D81" s="102" t="s">
        <v>75</v>
      </c>
    </row>
    <row r="82" spans="2:4" ht="18" customHeight="1">
      <c r="B82" s="102" t="s">
        <v>238</v>
      </c>
      <c r="C82" s="102" t="s">
        <v>239</v>
      </c>
      <c r="D82" s="102" t="s">
        <v>75</v>
      </c>
    </row>
    <row r="83" spans="2:4" ht="18" customHeight="1">
      <c r="B83" s="102" t="s">
        <v>240</v>
      </c>
      <c r="C83" s="102" t="s">
        <v>241</v>
      </c>
      <c r="D83" s="102" t="s">
        <v>75</v>
      </c>
    </row>
    <row r="84" spans="2:4" ht="18" customHeight="1">
      <c r="B84" s="102" t="s">
        <v>242</v>
      </c>
      <c r="C84" s="102" t="s">
        <v>243</v>
      </c>
      <c r="D84" s="102" t="s">
        <v>75</v>
      </c>
    </row>
    <row r="85" spans="2:4" ht="18" customHeight="1">
      <c r="B85" s="102" t="s">
        <v>244</v>
      </c>
      <c r="C85" s="102" t="s">
        <v>245</v>
      </c>
      <c r="D85" s="102" t="s">
        <v>75</v>
      </c>
    </row>
    <row r="86" spans="2:4" ht="18" customHeight="1">
      <c r="B86" s="102" t="s">
        <v>246</v>
      </c>
      <c r="C86" s="102" t="s">
        <v>247</v>
      </c>
      <c r="D86" s="102" t="s">
        <v>75</v>
      </c>
    </row>
    <row r="87" spans="2:4" ht="18" customHeight="1">
      <c r="B87" s="102" t="s">
        <v>248</v>
      </c>
      <c r="C87" s="102" t="s">
        <v>249</v>
      </c>
      <c r="D87" s="102" t="s">
        <v>75</v>
      </c>
    </row>
    <row r="88" spans="2:4" ht="18" customHeight="1">
      <c r="B88" s="102" t="s">
        <v>250</v>
      </c>
      <c r="C88" s="102" t="s">
        <v>251</v>
      </c>
      <c r="D88" s="102" t="s">
        <v>252</v>
      </c>
    </row>
    <row r="89" spans="2:4" ht="18" customHeight="1">
      <c r="B89" s="102" t="s">
        <v>253</v>
      </c>
      <c r="C89" s="102" t="s">
        <v>254</v>
      </c>
      <c r="D89" s="102" t="s">
        <v>252</v>
      </c>
    </row>
    <row r="90" spans="2:4" ht="18" customHeight="1">
      <c r="B90" s="102" t="s">
        <v>255</v>
      </c>
      <c r="C90" s="102" t="s">
        <v>256</v>
      </c>
      <c r="D90" s="102" t="s">
        <v>252</v>
      </c>
    </row>
    <row r="91" spans="2:4" ht="18" customHeight="1">
      <c r="B91" s="102" t="s">
        <v>257</v>
      </c>
      <c r="C91" s="102" t="s">
        <v>258</v>
      </c>
      <c r="D91" s="102" t="s">
        <v>252</v>
      </c>
    </row>
    <row r="92" spans="2:4" ht="18" customHeight="1">
      <c r="B92" s="102" t="s">
        <v>259</v>
      </c>
      <c r="C92" s="102" t="s">
        <v>260</v>
      </c>
      <c r="D92" s="102" t="s">
        <v>75</v>
      </c>
    </row>
    <row r="93" spans="2:4" ht="18" customHeight="1">
      <c r="B93" s="102" t="s">
        <v>261</v>
      </c>
      <c r="C93" s="102" t="s">
        <v>262</v>
      </c>
      <c r="D93" s="102" t="s">
        <v>75</v>
      </c>
    </row>
    <row r="94" spans="2:4" ht="18" customHeight="1">
      <c r="B94" s="102" t="s">
        <v>263</v>
      </c>
      <c r="C94" s="102" t="s">
        <v>264</v>
      </c>
      <c r="D94" s="102" t="s">
        <v>75</v>
      </c>
    </row>
    <row r="95" spans="2:4" ht="18" customHeight="1">
      <c r="B95" s="102" t="s">
        <v>265</v>
      </c>
      <c r="C95" s="102" t="s">
        <v>266</v>
      </c>
      <c r="D95" s="102" t="s">
        <v>75</v>
      </c>
    </row>
    <row r="96" spans="2:4" ht="18" customHeight="1">
      <c r="B96" s="102" t="s">
        <v>267</v>
      </c>
      <c r="C96" s="102" t="s">
        <v>268</v>
      </c>
      <c r="D96" s="102" t="s">
        <v>75</v>
      </c>
    </row>
    <row r="97" spans="2:4" ht="18" customHeight="1">
      <c r="B97" s="102" t="s">
        <v>269</v>
      </c>
      <c r="C97" s="102" t="s">
        <v>270</v>
      </c>
      <c r="D97" s="102" t="s">
        <v>75</v>
      </c>
    </row>
    <row r="98" spans="2:4" ht="18" customHeight="1">
      <c r="B98" s="102" t="s">
        <v>271</v>
      </c>
      <c r="C98" s="102" t="s">
        <v>272</v>
      </c>
      <c r="D98" s="102" t="s">
        <v>75</v>
      </c>
    </row>
    <row r="99" spans="2:4" ht="18" customHeight="1">
      <c r="B99" s="102" t="s">
        <v>273</v>
      </c>
      <c r="C99" s="102" t="s">
        <v>274</v>
      </c>
      <c r="D99" s="102" t="s">
        <v>75</v>
      </c>
    </row>
    <row r="100" spans="2:4" ht="18" customHeight="1">
      <c r="B100" s="102" t="s">
        <v>275</v>
      </c>
      <c r="C100" s="102" t="s">
        <v>276</v>
      </c>
      <c r="D100" s="102" t="s">
        <v>252</v>
      </c>
    </row>
    <row r="101" spans="2:4" ht="18" customHeight="1">
      <c r="B101" s="102" t="s">
        <v>277</v>
      </c>
      <c r="C101" s="102" t="s">
        <v>278</v>
      </c>
      <c r="D101" s="102" t="s">
        <v>252</v>
      </c>
    </row>
    <row r="102" spans="2:4" ht="18" customHeight="1">
      <c r="B102" s="102" t="s">
        <v>279</v>
      </c>
      <c r="C102" s="102" t="s">
        <v>280</v>
      </c>
      <c r="D102" s="102" t="s">
        <v>75</v>
      </c>
    </row>
    <row r="103" spans="2:4" ht="18" customHeight="1">
      <c r="B103" s="102" t="s">
        <v>281</v>
      </c>
      <c r="C103" s="102" t="s">
        <v>282</v>
      </c>
      <c r="D103" s="102" t="s">
        <v>75</v>
      </c>
    </row>
    <row r="104" spans="2:4" ht="18" customHeight="1">
      <c r="B104" s="102" t="s">
        <v>283</v>
      </c>
      <c r="C104" s="102" t="s">
        <v>284</v>
      </c>
      <c r="D104" s="102" t="s">
        <v>75</v>
      </c>
    </row>
    <row r="105" spans="2:4" ht="18" customHeight="1">
      <c r="B105" s="102" t="s">
        <v>285</v>
      </c>
      <c r="C105" s="102" t="s">
        <v>286</v>
      </c>
      <c r="D105" s="102" t="s">
        <v>75</v>
      </c>
    </row>
    <row r="106" spans="2:4" ht="18" customHeight="1">
      <c r="B106" s="102" t="s">
        <v>287</v>
      </c>
      <c r="C106" s="102" t="s">
        <v>288</v>
      </c>
      <c r="D106" s="102" t="s">
        <v>75</v>
      </c>
    </row>
    <row r="107" spans="2:4" ht="18" customHeight="1">
      <c r="B107" s="102" t="s">
        <v>289</v>
      </c>
      <c r="C107" s="102" t="s">
        <v>290</v>
      </c>
      <c r="D107" s="102" t="s">
        <v>75</v>
      </c>
    </row>
    <row r="108" spans="2:4" ht="18" customHeight="1">
      <c r="B108" s="102" t="s">
        <v>291</v>
      </c>
      <c r="C108" s="102" t="s">
        <v>292</v>
      </c>
      <c r="D108" s="102" t="s">
        <v>75</v>
      </c>
    </row>
    <row r="109" spans="2:4" ht="18" customHeight="1">
      <c r="B109" s="102" t="s">
        <v>293</v>
      </c>
      <c r="C109" s="102" t="s">
        <v>294</v>
      </c>
      <c r="D109" s="102" t="s">
        <v>295</v>
      </c>
    </row>
    <row r="110" spans="2:4" ht="18" customHeight="1">
      <c r="B110" s="102" t="s">
        <v>296</v>
      </c>
      <c r="C110" s="102" t="s">
        <v>297</v>
      </c>
      <c r="D110" s="102" t="s">
        <v>126</v>
      </c>
    </row>
    <row r="111" spans="2:4" ht="18" customHeight="1">
      <c r="B111" s="102" t="s">
        <v>298</v>
      </c>
      <c r="C111" s="102" t="s">
        <v>299</v>
      </c>
      <c r="D111" s="102" t="s">
        <v>75</v>
      </c>
    </row>
    <row r="112" spans="2:4" ht="18" customHeight="1">
      <c r="B112" s="102" t="s">
        <v>300</v>
      </c>
      <c r="C112" s="102" t="s">
        <v>301</v>
      </c>
      <c r="D112" s="102" t="s">
        <v>75</v>
      </c>
    </row>
    <row r="113" spans="2:4" ht="18" customHeight="1">
      <c r="B113" s="102" t="s">
        <v>302</v>
      </c>
      <c r="C113" s="102" t="s">
        <v>303</v>
      </c>
      <c r="D113" s="102" t="s">
        <v>75</v>
      </c>
    </row>
    <row r="114" spans="2:4" ht="18" customHeight="1">
      <c r="B114" s="102" t="s">
        <v>304</v>
      </c>
      <c r="C114" s="102" t="s">
        <v>305</v>
      </c>
      <c r="D114" s="102" t="s">
        <v>75</v>
      </c>
    </row>
    <row r="115" spans="2:4" ht="18" customHeight="1">
      <c r="B115" s="102" t="s">
        <v>306</v>
      </c>
      <c r="C115" s="102" t="s">
        <v>307</v>
      </c>
      <c r="D115" s="102" t="s">
        <v>75</v>
      </c>
    </row>
    <row r="116" spans="2:4" ht="18" customHeight="1">
      <c r="B116" s="102" t="s">
        <v>308</v>
      </c>
      <c r="C116" s="102" t="s">
        <v>309</v>
      </c>
      <c r="D116" s="102" t="s">
        <v>75</v>
      </c>
    </row>
    <row r="117" spans="2:4" ht="18" customHeight="1">
      <c r="B117" s="102" t="s">
        <v>310</v>
      </c>
      <c r="C117" s="102" t="s">
        <v>311</v>
      </c>
      <c r="D117" s="102" t="s">
        <v>75</v>
      </c>
    </row>
    <row r="118" spans="2:4" ht="18" customHeight="1">
      <c r="B118" s="102" t="s">
        <v>312</v>
      </c>
      <c r="C118" s="102" t="s">
        <v>313</v>
      </c>
      <c r="D118" s="102" t="s">
        <v>75</v>
      </c>
    </row>
    <row r="119" spans="2:4" ht="18" customHeight="1">
      <c r="B119" s="102" t="s">
        <v>314</v>
      </c>
      <c r="C119" s="102" t="s">
        <v>315</v>
      </c>
      <c r="D119" s="102" t="s">
        <v>75</v>
      </c>
    </row>
    <row r="120" spans="2:4" ht="18" customHeight="1">
      <c r="B120" s="102" t="s">
        <v>316</v>
      </c>
      <c r="C120" s="102" t="s">
        <v>317</v>
      </c>
      <c r="D120" s="102" t="s">
        <v>75</v>
      </c>
    </row>
    <row r="121" spans="2:4" ht="18" customHeight="1">
      <c r="B121" s="102" t="s">
        <v>318</v>
      </c>
      <c r="C121" s="102" t="s">
        <v>319</v>
      </c>
      <c r="D121" s="102" t="s">
        <v>87</v>
      </c>
    </row>
    <row r="122" spans="2:4" ht="18" customHeight="1">
      <c r="B122" s="102" t="s">
        <v>320</v>
      </c>
      <c r="C122" s="102" t="s">
        <v>321</v>
      </c>
      <c r="D122" s="102" t="s">
        <v>87</v>
      </c>
    </row>
    <row r="123" spans="2:4" ht="18" customHeight="1">
      <c r="B123" s="102" t="s">
        <v>322</v>
      </c>
      <c r="C123" s="102" t="s">
        <v>323</v>
      </c>
      <c r="D123" s="102" t="s">
        <v>75</v>
      </c>
    </row>
    <row r="124" spans="2:4" ht="18" customHeight="1">
      <c r="B124" s="102" t="s">
        <v>324</v>
      </c>
      <c r="C124" s="102" t="s">
        <v>325</v>
      </c>
      <c r="D124" s="102" t="s">
        <v>75</v>
      </c>
    </row>
    <row r="125" spans="2:4" ht="18" customHeight="1">
      <c r="B125" s="102" t="s">
        <v>326</v>
      </c>
      <c r="C125" s="102" t="s">
        <v>327</v>
      </c>
      <c r="D125" s="102" t="s">
        <v>87</v>
      </c>
    </row>
    <row r="126" spans="2:4" ht="18" customHeight="1">
      <c r="B126" s="102" t="s">
        <v>328</v>
      </c>
      <c r="C126" s="102" t="s">
        <v>329</v>
      </c>
      <c r="D126" s="102" t="s">
        <v>75</v>
      </c>
    </row>
    <row r="127" spans="2:4" ht="18" customHeight="1">
      <c r="B127" s="102" t="s">
        <v>330</v>
      </c>
      <c r="C127" s="102" t="s">
        <v>331</v>
      </c>
      <c r="D127" s="102" t="s">
        <v>126</v>
      </c>
    </row>
    <row r="128" spans="2:4" ht="18" customHeight="1">
      <c r="B128" s="102" t="s">
        <v>332</v>
      </c>
      <c r="C128" s="102" t="s">
        <v>333</v>
      </c>
      <c r="D128" s="102" t="s">
        <v>87</v>
      </c>
    </row>
    <row r="129" spans="2:4" ht="18" customHeight="1">
      <c r="B129" s="102" t="s">
        <v>334</v>
      </c>
      <c r="C129" s="102" t="s">
        <v>335</v>
      </c>
      <c r="D129" s="102" t="s">
        <v>75</v>
      </c>
    </row>
    <row r="130" spans="2:4" ht="18" customHeight="1">
      <c r="B130" s="102" t="s">
        <v>336</v>
      </c>
      <c r="C130" s="102" t="s">
        <v>337</v>
      </c>
      <c r="D130" s="102" t="s">
        <v>75</v>
      </c>
    </row>
    <row r="131" spans="2:4" ht="18" customHeight="1">
      <c r="B131" s="102" t="s">
        <v>338</v>
      </c>
      <c r="C131" s="102" t="s">
        <v>339</v>
      </c>
      <c r="D131" s="102" t="s">
        <v>75</v>
      </c>
    </row>
    <row r="132" spans="2:4" ht="18" customHeight="1">
      <c r="B132" s="102" t="s">
        <v>340</v>
      </c>
      <c r="C132" s="102" t="s">
        <v>341</v>
      </c>
      <c r="D132" s="102" t="s">
        <v>342</v>
      </c>
    </row>
    <row r="133" spans="2:4" ht="18" customHeight="1">
      <c r="B133" s="102" t="s">
        <v>343</v>
      </c>
      <c r="C133" s="102" t="s">
        <v>344</v>
      </c>
      <c r="D133" s="102" t="s">
        <v>75</v>
      </c>
    </row>
    <row r="134" spans="2:4" ht="18" customHeight="1">
      <c r="B134" s="102" t="s">
        <v>345</v>
      </c>
      <c r="C134" s="102" t="s">
        <v>346</v>
      </c>
      <c r="D134" s="102" t="s">
        <v>75</v>
      </c>
    </row>
    <row r="135" spans="2:4" ht="18" customHeight="1">
      <c r="B135" s="102" t="s">
        <v>347</v>
      </c>
      <c r="C135" s="102" t="s">
        <v>348</v>
      </c>
      <c r="D135" s="102" t="s">
        <v>75</v>
      </c>
    </row>
    <row r="136" spans="2:4" ht="18" customHeight="1">
      <c r="B136" s="102" t="s">
        <v>349</v>
      </c>
      <c r="C136" s="102" t="s">
        <v>350</v>
      </c>
      <c r="D136" s="102" t="s">
        <v>342</v>
      </c>
    </row>
    <row r="137" spans="2:4" ht="18" customHeight="1">
      <c r="B137" s="102" t="s">
        <v>351</v>
      </c>
      <c r="C137" s="102" t="s">
        <v>350</v>
      </c>
      <c r="D137" s="102" t="s">
        <v>342</v>
      </c>
    </row>
    <row r="138" spans="2:4" ht="18" customHeight="1">
      <c r="B138" s="102" t="s">
        <v>352</v>
      </c>
      <c r="C138" s="102" t="s">
        <v>353</v>
      </c>
      <c r="D138" s="102" t="s">
        <v>342</v>
      </c>
    </row>
    <row r="139" spans="2:4" ht="18" customHeight="1">
      <c r="B139" s="102">
        <v>564039571</v>
      </c>
      <c r="C139" s="102" t="s">
        <v>354</v>
      </c>
      <c r="D139" s="102" t="s">
        <v>355</v>
      </c>
    </row>
    <row r="140" spans="2:4" ht="18" customHeight="1">
      <c r="B140" s="102" t="s">
        <v>356</v>
      </c>
      <c r="C140" s="102" t="s">
        <v>357</v>
      </c>
      <c r="D140" s="102" t="s">
        <v>252</v>
      </c>
    </row>
    <row r="141" spans="2:4" ht="18" customHeight="1">
      <c r="B141" s="102" t="s">
        <v>358</v>
      </c>
      <c r="C141" s="102" t="s">
        <v>359</v>
      </c>
      <c r="D141" s="102" t="s">
        <v>252</v>
      </c>
    </row>
    <row r="142" spans="2:4" ht="18" customHeight="1">
      <c r="B142" s="102" t="s">
        <v>360</v>
      </c>
      <c r="C142" s="102" t="s">
        <v>361</v>
      </c>
      <c r="D142" s="102" t="s">
        <v>75</v>
      </c>
    </row>
    <row r="143" spans="2:4" ht="18" customHeight="1">
      <c r="B143" s="102" t="s">
        <v>362</v>
      </c>
      <c r="C143" s="102" t="s">
        <v>363</v>
      </c>
      <c r="D143" s="102" t="s">
        <v>75</v>
      </c>
    </row>
    <row r="144" spans="2:4" ht="18" customHeight="1">
      <c r="B144" s="102" t="s">
        <v>364</v>
      </c>
      <c r="C144" s="102" t="s">
        <v>365</v>
      </c>
      <c r="D144" s="102" t="s">
        <v>75</v>
      </c>
    </row>
    <row r="145" spans="2:4" ht="18" customHeight="1">
      <c r="B145" s="102" t="s">
        <v>366</v>
      </c>
      <c r="C145" s="102" t="s">
        <v>367</v>
      </c>
      <c r="D145" s="102" t="s">
        <v>75</v>
      </c>
    </row>
    <row r="146" spans="2:4" ht="18" customHeight="1">
      <c r="B146" s="102" t="s">
        <v>368</v>
      </c>
      <c r="C146" s="102" t="s">
        <v>369</v>
      </c>
      <c r="D146" s="102" t="s">
        <v>75</v>
      </c>
    </row>
    <row r="147" spans="2:4" ht="18" customHeight="1">
      <c r="B147" s="102" t="s">
        <v>370</v>
      </c>
      <c r="C147" s="102" t="s">
        <v>371</v>
      </c>
      <c r="D147" s="102" t="s">
        <v>75</v>
      </c>
    </row>
    <row r="148" spans="2:4" ht="18" customHeight="1">
      <c r="B148" s="102" t="s">
        <v>372</v>
      </c>
      <c r="C148" s="102" t="s">
        <v>373</v>
      </c>
      <c r="D148" s="102" t="s">
        <v>75</v>
      </c>
    </row>
    <row r="149" spans="2:4" ht="18" customHeight="1">
      <c r="B149" s="102" t="s">
        <v>374</v>
      </c>
      <c r="C149" s="102" t="s">
        <v>375</v>
      </c>
      <c r="D149" s="102" t="s">
        <v>75</v>
      </c>
    </row>
    <row r="150" spans="2:4" ht="18" customHeight="1">
      <c r="B150" s="102" t="s">
        <v>376</v>
      </c>
      <c r="C150" s="102" t="s">
        <v>377</v>
      </c>
      <c r="D150" s="102" t="s">
        <v>75</v>
      </c>
    </row>
    <row r="151" spans="2:4" ht="18" customHeight="1">
      <c r="B151" s="102" t="s">
        <v>378</v>
      </c>
      <c r="C151" s="102" t="s">
        <v>379</v>
      </c>
      <c r="D151" s="102" t="s">
        <v>75</v>
      </c>
    </row>
    <row r="152" spans="2:4" ht="18" customHeight="1">
      <c r="B152" s="102" t="s">
        <v>380</v>
      </c>
      <c r="C152" s="102" t="s">
        <v>381</v>
      </c>
      <c r="D152" s="102" t="s">
        <v>75</v>
      </c>
    </row>
    <row r="153" spans="2:4" ht="18" customHeight="1">
      <c r="B153" s="102" t="s">
        <v>382</v>
      </c>
      <c r="C153" s="102" t="s">
        <v>383</v>
      </c>
      <c r="D153" s="102" t="s">
        <v>75</v>
      </c>
    </row>
    <row r="154" spans="2:4" ht="18" customHeight="1">
      <c r="B154" s="102" t="s">
        <v>384</v>
      </c>
      <c r="C154" s="102" t="s">
        <v>128</v>
      </c>
      <c r="D154" s="102" t="s">
        <v>75</v>
      </c>
    </row>
    <row r="155" spans="2:4" ht="18" customHeight="1">
      <c r="B155" s="102" t="s">
        <v>385</v>
      </c>
      <c r="C155" s="102" t="s">
        <v>128</v>
      </c>
      <c r="D155" s="102" t="s">
        <v>75</v>
      </c>
    </row>
    <row r="156" spans="2:4" ht="18" customHeight="1">
      <c r="B156" s="102" t="s">
        <v>352</v>
      </c>
      <c r="C156" s="102" t="s">
        <v>386</v>
      </c>
      <c r="D156" s="102" t="s">
        <v>342</v>
      </c>
    </row>
    <row r="157" spans="2:4" ht="18" customHeight="1">
      <c r="B157" s="102" t="s">
        <v>387</v>
      </c>
      <c r="C157" s="102" t="s">
        <v>25</v>
      </c>
      <c r="D157" s="102" t="s">
        <v>342</v>
      </c>
    </row>
    <row r="158" spans="2:4" ht="18" customHeight="1">
      <c r="B158" s="102" t="s">
        <v>388</v>
      </c>
      <c r="C158" s="102" t="s">
        <v>28</v>
      </c>
      <c r="D158" s="102" t="s">
        <v>342</v>
      </c>
    </row>
    <row r="159" spans="2:4" ht="18" customHeight="1">
      <c r="B159" s="102" t="s">
        <v>389</v>
      </c>
      <c r="C159" s="102" t="s">
        <v>34</v>
      </c>
      <c r="D159" s="102" t="s">
        <v>342</v>
      </c>
    </row>
    <row r="160" spans="2:4" ht="18" customHeight="1">
      <c r="B160" s="102" t="s">
        <v>390</v>
      </c>
      <c r="C160" s="102" t="s">
        <v>31</v>
      </c>
      <c r="D160" s="102" t="s">
        <v>342</v>
      </c>
    </row>
    <row r="161" spans="2:4" ht="18" customHeight="1">
      <c r="B161" s="102" t="s">
        <v>391</v>
      </c>
      <c r="C161" s="102" t="s">
        <v>13</v>
      </c>
      <c r="D161" s="102" t="s">
        <v>342</v>
      </c>
    </row>
    <row r="162" spans="2:4" ht="18" customHeight="1">
      <c r="B162" s="102" t="s">
        <v>392</v>
      </c>
      <c r="C162" s="102" t="s">
        <v>16</v>
      </c>
      <c r="D162" s="102" t="s">
        <v>342</v>
      </c>
    </row>
    <row r="163" spans="2:4" ht="18" customHeight="1">
      <c r="B163" s="102" t="s">
        <v>393</v>
      </c>
      <c r="C163" s="102" t="s">
        <v>19</v>
      </c>
      <c r="D163" s="102" t="s">
        <v>342</v>
      </c>
    </row>
    <row r="164" spans="2:4" ht="18" customHeight="1">
      <c r="B164" s="102" t="s">
        <v>394</v>
      </c>
      <c r="C164" s="102" t="s">
        <v>128</v>
      </c>
      <c r="D164" s="102" t="s">
        <v>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63"/>
  <sheetViews>
    <sheetView topLeftCell="A30" zoomScale="160" zoomScaleNormal="160" workbookViewId="0">
      <selection activeCell="A30" sqref="A30"/>
    </sheetView>
  </sheetViews>
  <sheetFormatPr defaultColWidth="10" defaultRowHeight="15"/>
  <cols>
    <col min="1" max="1" width="9.125" customWidth="1"/>
    <col min="2" max="2" width="5.375" customWidth="1"/>
    <col min="3" max="3" width="19.25" customWidth="1"/>
    <col min="4" max="4" width="7.875" customWidth="1"/>
    <col min="5" max="5" width="38.25" customWidth="1"/>
  </cols>
  <sheetData>
    <row r="1" spans="1:5" hidden="1"/>
    <row r="2" spans="1:5" hidden="1"/>
    <row r="3" spans="1:5" hidden="1">
      <c r="A3" s="6" t="s">
        <v>395</v>
      </c>
      <c r="B3" s="86">
        <v>12</v>
      </c>
      <c r="C3" s="11" t="s">
        <v>396</v>
      </c>
      <c r="D3" s="13">
        <v>573</v>
      </c>
      <c r="E3" s="87" t="s">
        <v>397</v>
      </c>
    </row>
    <row r="4" spans="1:5" hidden="1">
      <c r="A4" s="88" t="s">
        <v>398</v>
      </c>
      <c r="B4" s="89">
        <v>24</v>
      </c>
      <c r="C4" s="90" t="s">
        <v>399</v>
      </c>
      <c r="D4" s="91">
        <v>514</v>
      </c>
      <c r="E4" s="92" t="s">
        <v>400</v>
      </c>
    </row>
    <row r="5" spans="1:5" hidden="1">
      <c r="A5" s="6" t="s">
        <v>395</v>
      </c>
      <c r="B5" s="86">
        <v>48</v>
      </c>
      <c r="C5" s="11" t="s">
        <v>401</v>
      </c>
      <c r="D5" s="13">
        <v>621</v>
      </c>
      <c r="E5" s="93" t="s">
        <v>402</v>
      </c>
    </row>
    <row r="6" spans="1:5" hidden="1">
      <c r="A6" s="88" t="s">
        <v>398</v>
      </c>
      <c r="B6" s="89">
        <v>65</v>
      </c>
      <c r="C6" s="90" t="s">
        <v>403</v>
      </c>
      <c r="D6" s="91"/>
      <c r="E6" s="92" t="s">
        <v>189</v>
      </c>
    </row>
    <row r="7" spans="1:5" hidden="1">
      <c r="A7" s="88" t="s">
        <v>398</v>
      </c>
      <c r="B7" s="89">
        <v>67</v>
      </c>
      <c r="C7" s="90" t="s">
        <v>404</v>
      </c>
      <c r="D7" s="91">
        <v>63</v>
      </c>
      <c r="E7" s="92" t="s">
        <v>405</v>
      </c>
    </row>
    <row r="8" spans="1:5" hidden="1">
      <c r="A8" s="88" t="s">
        <v>398</v>
      </c>
      <c r="B8" s="89">
        <v>71</v>
      </c>
      <c r="C8" s="90" t="s">
        <v>406</v>
      </c>
      <c r="D8" s="91">
        <v>446</v>
      </c>
      <c r="E8" s="92" t="s">
        <v>200</v>
      </c>
    </row>
    <row r="9" spans="1:5" hidden="1">
      <c r="A9" s="6" t="s">
        <v>407</v>
      </c>
      <c r="B9" s="86">
        <v>72</v>
      </c>
      <c r="C9" s="11" t="s">
        <v>408</v>
      </c>
      <c r="D9" s="13">
        <v>280</v>
      </c>
      <c r="E9" s="87" t="s">
        <v>409</v>
      </c>
    </row>
    <row r="10" spans="1:5" hidden="1">
      <c r="A10" s="88" t="s">
        <v>398</v>
      </c>
      <c r="B10" s="89">
        <v>73</v>
      </c>
      <c r="C10" s="90" t="s">
        <v>410</v>
      </c>
      <c r="D10" s="91">
        <v>489</v>
      </c>
      <c r="E10" s="92" t="s">
        <v>195</v>
      </c>
    </row>
    <row r="11" spans="1:5" hidden="1">
      <c r="A11" s="88" t="s">
        <v>398</v>
      </c>
      <c r="B11" s="89">
        <v>74</v>
      </c>
      <c r="C11" s="90" t="s">
        <v>411</v>
      </c>
      <c r="D11" s="91">
        <v>384</v>
      </c>
      <c r="E11" s="92" t="s">
        <v>412</v>
      </c>
    </row>
    <row r="12" spans="1:5" hidden="1">
      <c r="A12" s="88" t="s">
        <v>398</v>
      </c>
      <c r="B12" s="89">
        <v>75</v>
      </c>
      <c r="C12" s="90" t="s">
        <v>413</v>
      </c>
      <c r="D12" s="91">
        <v>333</v>
      </c>
      <c r="E12" s="92" t="s">
        <v>213</v>
      </c>
    </row>
    <row r="13" spans="1:5" hidden="1">
      <c r="A13" s="88" t="s">
        <v>398</v>
      </c>
      <c r="B13" s="94">
        <v>25</v>
      </c>
      <c r="C13" s="91" t="s">
        <v>414</v>
      </c>
      <c r="D13" s="91">
        <v>401</v>
      </c>
      <c r="E13" s="92" t="s">
        <v>415</v>
      </c>
    </row>
    <row r="14" spans="1:5" hidden="1">
      <c r="A14" s="6" t="s">
        <v>395</v>
      </c>
      <c r="B14" s="11">
        <v>30</v>
      </c>
      <c r="C14" s="13" t="s">
        <v>416</v>
      </c>
      <c r="D14" s="13">
        <v>611</v>
      </c>
      <c r="E14" s="95" t="s">
        <v>321</v>
      </c>
    </row>
    <row r="15" spans="1:5" hidden="1">
      <c r="A15" s="6" t="s">
        <v>395</v>
      </c>
      <c r="B15" s="86">
        <v>68</v>
      </c>
      <c r="C15" s="11" t="s">
        <v>417</v>
      </c>
      <c r="D15" s="13">
        <v>588</v>
      </c>
      <c r="E15" s="87" t="s">
        <v>418</v>
      </c>
    </row>
    <row r="16" spans="1:5" hidden="1">
      <c r="A16" s="6" t="s">
        <v>395</v>
      </c>
      <c r="B16" s="86">
        <v>69</v>
      </c>
      <c r="C16" s="11" t="s">
        <v>419</v>
      </c>
      <c r="D16" s="13">
        <v>604</v>
      </c>
      <c r="E16" s="93" t="s">
        <v>420</v>
      </c>
    </row>
    <row r="17" spans="1:5" hidden="1">
      <c r="A17" s="6" t="s">
        <v>395</v>
      </c>
      <c r="B17" s="86">
        <v>18</v>
      </c>
      <c r="C17" s="11" t="s">
        <v>421</v>
      </c>
      <c r="D17" s="13">
        <v>555</v>
      </c>
      <c r="E17" s="87" t="s">
        <v>422</v>
      </c>
    </row>
    <row r="18" spans="1:5" hidden="1"/>
    <row r="19" spans="1:5" hidden="1"/>
    <row r="20" spans="1:5" hidden="1"/>
    <row r="21" spans="1:5" hidden="1"/>
    <row r="22" spans="1:5" hidden="1"/>
    <row r="23" spans="1:5" hidden="1"/>
    <row r="24" spans="1:5" hidden="1"/>
    <row r="25" spans="1:5" hidden="1">
      <c r="A25" s="6" t="s">
        <v>398</v>
      </c>
      <c r="B25" s="86">
        <v>66</v>
      </c>
      <c r="C25" s="11" t="s">
        <v>423</v>
      </c>
      <c r="D25" s="13"/>
      <c r="E25" s="96" t="s">
        <v>424</v>
      </c>
    </row>
    <row r="26" spans="1:5" hidden="1">
      <c r="A26" s="6" t="s">
        <v>398</v>
      </c>
      <c r="B26" s="86">
        <v>76</v>
      </c>
      <c r="C26" s="11" t="s">
        <v>425</v>
      </c>
      <c r="D26" s="13">
        <v>490</v>
      </c>
      <c r="E26" s="97" t="s">
        <v>426</v>
      </c>
    </row>
    <row r="27" spans="1:5" hidden="1"/>
    <row r="28" spans="1:5" hidden="1"/>
    <row r="29" spans="1:5" hidden="1"/>
    <row r="31" spans="1:5">
      <c r="D31" s="418" t="s">
        <v>427</v>
      </c>
      <c r="E31" s="418"/>
    </row>
    <row r="32" spans="1:5">
      <c r="D32" s="98">
        <v>280</v>
      </c>
      <c r="E32" s="99" t="s">
        <v>409</v>
      </c>
    </row>
    <row r="33" spans="4:5">
      <c r="D33" s="100">
        <v>313</v>
      </c>
      <c r="E33" s="100" t="s">
        <v>428</v>
      </c>
    </row>
    <row r="34" spans="4:5">
      <c r="D34" s="100">
        <v>321</v>
      </c>
      <c r="E34" s="100" t="s">
        <v>429</v>
      </c>
    </row>
    <row r="35" spans="4:5">
      <c r="D35" s="100">
        <v>328</v>
      </c>
      <c r="E35" s="100" t="s">
        <v>430</v>
      </c>
    </row>
    <row r="36" spans="4:5">
      <c r="D36" s="100">
        <v>329</v>
      </c>
      <c r="E36" s="100" t="s">
        <v>431</v>
      </c>
    </row>
    <row r="37" spans="4:5">
      <c r="D37" s="100">
        <v>333</v>
      </c>
      <c r="E37" s="100" t="s">
        <v>432</v>
      </c>
    </row>
    <row r="38" spans="4:5">
      <c r="D38" s="100">
        <v>346</v>
      </c>
      <c r="E38" s="100" t="s">
        <v>433</v>
      </c>
    </row>
    <row r="39" spans="4:5">
      <c r="D39" s="100">
        <v>347</v>
      </c>
      <c r="E39" s="100" t="s">
        <v>434</v>
      </c>
    </row>
    <row r="40" spans="4:5">
      <c r="D40" s="100">
        <v>349</v>
      </c>
      <c r="E40" s="100" t="s">
        <v>435</v>
      </c>
    </row>
    <row r="41" spans="4:5">
      <c r="D41" s="100">
        <v>350</v>
      </c>
      <c r="E41" s="100" t="s">
        <v>436</v>
      </c>
    </row>
    <row r="42" spans="4:5">
      <c r="D42" s="100">
        <v>353</v>
      </c>
      <c r="E42" s="100" t="s">
        <v>437</v>
      </c>
    </row>
    <row r="43" spans="4:5">
      <c r="D43" s="100">
        <v>370</v>
      </c>
      <c r="E43" s="100" t="s">
        <v>438</v>
      </c>
    </row>
    <row r="44" spans="4:5">
      <c r="D44" s="101">
        <v>384</v>
      </c>
      <c r="E44" s="101" t="s">
        <v>439</v>
      </c>
    </row>
    <row r="45" spans="4:5">
      <c r="D45" s="100">
        <v>385</v>
      </c>
      <c r="E45" s="100" t="s">
        <v>440</v>
      </c>
    </row>
    <row r="46" spans="4:5">
      <c r="D46" s="101">
        <v>401</v>
      </c>
      <c r="E46" s="101" t="s">
        <v>441</v>
      </c>
    </row>
    <row r="47" spans="4:5">
      <c r="D47" s="101">
        <v>446</v>
      </c>
      <c r="E47" s="101" t="s">
        <v>442</v>
      </c>
    </row>
    <row r="48" spans="4:5">
      <c r="D48" s="100">
        <v>459</v>
      </c>
      <c r="E48" s="100" t="s">
        <v>443</v>
      </c>
    </row>
    <row r="49" spans="4:5">
      <c r="D49" s="100">
        <v>478</v>
      </c>
      <c r="E49" s="100" t="s">
        <v>444</v>
      </c>
    </row>
    <row r="50" spans="4:5">
      <c r="D50" s="100">
        <v>482</v>
      </c>
      <c r="E50" s="100" t="s">
        <v>445</v>
      </c>
    </row>
    <row r="51" spans="4:5">
      <c r="D51" s="101">
        <v>489</v>
      </c>
      <c r="E51" s="101" t="s">
        <v>446</v>
      </c>
    </row>
    <row r="52" spans="4:5">
      <c r="D52" s="100">
        <v>498</v>
      </c>
      <c r="E52" s="100" t="s">
        <v>447</v>
      </c>
    </row>
    <row r="53" spans="4:5">
      <c r="D53" s="100">
        <v>499</v>
      </c>
      <c r="E53" s="100" t="s">
        <v>448</v>
      </c>
    </row>
    <row r="54" spans="4:5">
      <c r="D54" s="100">
        <v>510</v>
      </c>
      <c r="E54" s="100" t="s">
        <v>449</v>
      </c>
    </row>
    <row r="55" spans="4:5">
      <c r="D55" s="100">
        <v>511</v>
      </c>
      <c r="E55" s="100" t="s">
        <v>450</v>
      </c>
    </row>
    <row r="56" spans="4:5">
      <c r="D56" s="100">
        <v>512</v>
      </c>
      <c r="E56" s="100" t="s">
        <v>451</v>
      </c>
    </row>
    <row r="57" spans="4:5">
      <c r="D57" s="101">
        <v>514</v>
      </c>
      <c r="E57" s="101" t="s">
        <v>452</v>
      </c>
    </row>
    <row r="58" spans="4:5">
      <c r="D58" s="100">
        <v>534</v>
      </c>
      <c r="E58" s="100" t="s">
        <v>453</v>
      </c>
    </row>
    <row r="59" spans="4:5">
      <c r="D59" s="100">
        <v>539</v>
      </c>
      <c r="E59" s="100" t="s">
        <v>454</v>
      </c>
    </row>
    <row r="60" spans="4:5">
      <c r="D60" s="100">
        <v>543</v>
      </c>
      <c r="E60" s="100" t="s">
        <v>455</v>
      </c>
    </row>
    <row r="61" spans="4:5">
      <c r="D61" s="100">
        <v>550</v>
      </c>
      <c r="E61" s="100" t="s">
        <v>456</v>
      </c>
    </row>
    <row r="62" spans="4:5">
      <c r="D62" s="100">
        <v>551</v>
      </c>
      <c r="E62" s="100" t="s">
        <v>457</v>
      </c>
    </row>
    <row r="63" spans="4:5">
      <c r="D63" s="100">
        <v>552</v>
      </c>
      <c r="E63" s="100" t="s">
        <v>458</v>
      </c>
    </row>
  </sheetData>
  <mergeCells count="1">
    <mergeCell ref="D31:E3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19138-05A4-4BEC-A744-B5D1CC24B4FA}">
  <sheetPr codeName="Sheet11">
    <pageSetUpPr fitToPage="1"/>
  </sheetPr>
  <dimension ref="A1:XDQ292"/>
  <sheetViews>
    <sheetView topLeftCell="A194" zoomScale="85" zoomScaleNormal="85" zoomScaleSheetLayoutView="85" zoomScalePageLayoutView="85" workbookViewId="0">
      <selection activeCell="C235" sqref="C235"/>
    </sheetView>
  </sheetViews>
  <sheetFormatPr defaultColWidth="9.125" defaultRowHeight="15.75"/>
  <cols>
    <col min="1" max="1" width="1.75" style="6" customWidth="1"/>
    <col min="2" max="2" width="6.625" style="7" customWidth="1"/>
    <col min="3" max="3" width="16.125" style="7" customWidth="1"/>
    <col min="4" max="4" width="9.125" style="8" customWidth="1"/>
    <col min="5" max="5" width="33" style="129" customWidth="1"/>
    <col min="6" max="6" width="21.25" style="4" customWidth="1"/>
    <col min="7" max="7" width="20.75" style="4" customWidth="1"/>
    <col min="8" max="8" width="23.75" style="4" customWidth="1"/>
    <col min="9" max="9" width="20.25" style="4" customWidth="1"/>
    <col min="10" max="10" width="22.625" style="4" customWidth="1"/>
    <col min="11" max="11" width="18.625" style="4" customWidth="1"/>
    <col min="12" max="12" width="14.375" style="9" customWidth="1"/>
    <col min="13" max="13" width="25" style="159" customWidth="1"/>
    <col min="14" max="14" width="20.375" style="6" customWidth="1"/>
    <col min="15" max="16384" width="9.125" style="6"/>
  </cols>
  <sheetData>
    <row r="1" spans="2:13" s="1" customFormat="1" ht="24.95" customHeight="1">
      <c r="B1" s="419" t="s">
        <v>459</v>
      </c>
      <c r="C1" s="419"/>
      <c r="D1" s="419"/>
      <c r="E1" s="420"/>
      <c r="F1" s="419"/>
      <c r="G1" s="419"/>
      <c r="H1" s="419"/>
      <c r="I1" s="419"/>
      <c r="J1" s="419"/>
      <c r="K1" s="419"/>
      <c r="L1" s="419"/>
      <c r="M1" s="154" t="s">
        <v>460</v>
      </c>
    </row>
    <row r="2" spans="2:13" s="1" customFormat="1" ht="38.25" customHeight="1" thickBot="1">
      <c r="B2" s="421" t="s">
        <v>461</v>
      </c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154" t="s">
        <v>462</v>
      </c>
    </row>
    <row r="3" spans="2:13" ht="15" customHeight="1">
      <c r="B3" s="181" t="s">
        <v>463</v>
      </c>
      <c r="C3" s="182" t="s">
        <v>464</v>
      </c>
      <c r="D3" s="182"/>
      <c r="E3" s="183" t="s">
        <v>465</v>
      </c>
      <c r="F3" s="184" t="s">
        <v>466</v>
      </c>
      <c r="G3" s="184" t="s">
        <v>467</v>
      </c>
      <c r="H3" s="184"/>
      <c r="I3" s="184"/>
      <c r="J3" s="184"/>
      <c r="K3" s="422" t="s">
        <v>468</v>
      </c>
      <c r="L3" s="424" t="s">
        <v>469</v>
      </c>
      <c r="M3" s="426" t="s">
        <v>470</v>
      </c>
    </row>
    <row r="4" spans="2:13" ht="29.25" customHeight="1">
      <c r="B4" s="185"/>
      <c r="C4" s="174"/>
      <c r="D4" s="174"/>
      <c r="E4" s="169"/>
      <c r="F4" s="175"/>
      <c r="G4" s="171" t="s">
        <v>471</v>
      </c>
      <c r="H4" s="171" t="s">
        <v>472</v>
      </c>
      <c r="I4" s="171" t="s">
        <v>473</v>
      </c>
      <c r="J4" s="171" t="s">
        <v>474</v>
      </c>
      <c r="K4" s="423"/>
      <c r="L4" s="425"/>
      <c r="M4" s="427"/>
    </row>
    <row r="5" spans="2:13" ht="20.25" customHeight="1">
      <c r="B5" s="165"/>
      <c r="C5" s="176" t="s">
        <v>475</v>
      </c>
      <c r="D5" s="177" t="s">
        <v>476</v>
      </c>
      <c r="E5" s="178" t="s">
        <v>477</v>
      </c>
      <c r="F5" s="175"/>
      <c r="G5" s="175"/>
      <c r="H5" s="175"/>
      <c r="I5" s="175"/>
      <c r="J5" s="175"/>
      <c r="K5" s="175"/>
      <c r="L5" s="175"/>
      <c r="M5" s="173"/>
    </row>
    <row r="6" spans="2:13" ht="42" customHeight="1">
      <c r="B6" s="164"/>
      <c r="C6" s="166" t="s">
        <v>478</v>
      </c>
      <c r="D6" s="166"/>
      <c r="E6" s="167"/>
      <c r="F6" s="170"/>
      <c r="G6" s="170"/>
      <c r="H6" s="170"/>
      <c r="I6" s="170"/>
      <c r="J6" s="170"/>
      <c r="K6" s="170"/>
      <c r="L6" s="170"/>
      <c r="M6" s="172"/>
    </row>
    <row r="7" spans="2:13">
      <c r="B7" s="11">
        <v>1</v>
      </c>
      <c r="C7" s="19" t="s">
        <v>479</v>
      </c>
      <c r="D7" s="19"/>
      <c r="E7" s="117" t="s">
        <v>480</v>
      </c>
      <c r="F7" s="14">
        <v>4599.53</v>
      </c>
      <c r="G7" s="15">
        <v>4355</v>
      </c>
      <c r="H7" s="16">
        <v>219.03</v>
      </c>
      <c r="I7" s="18">
        <v>25.5</v>
      </c>
      <c r="J7" s="18">
        <f t="shared" ref="J7:J18" si="0">SUM(G7+H7+I7)</f>
        <v>4599.53</v>
      </c>
      <c r="K7" s="32"/>
      <c r="L7" s="33">
        <f t="shared" ref="L7:L38" si="1">+(F7-((SUM(J7+K7))))</f>
        <v>0</v>
      </c>
      <c r="M7" s="37"/>
    </row>
    <row r="8" spans="2:13">
      <c r="B8" s="11">
        <f>1+B7</f>
        <v>2</v>
      </c>
      <c r="C8" s="19" t="s">
        <v>481</v>
      </c>
      <c r="D8" s="19"/>
      <c r="E8" s="118" t="s">
        <v>482</v>
      </c>
      <c r="F8" s="14">
        <v>99.75</v>
      </c>
      <c r="G8" s="15">
        <v>95</v>
      </c>
      <c r="H8" s="16">
        <v>4.75</v>
      </c>
      <c r="I8" s="18"/>
      <c r="J8" s="18">
        <f t="shared" si="0"/>
        <v>99.75</v>
      </c>
      <c r="K8" s="32"/>
      <c r="L8" s="33">
        <f t="shared" si="1"/>
        <v>0</v>
      </c>
      <c r="M8" s="37"/>
    </row>
    <row r="9" spans="2:13" ht="15.75" customHeight="1">
      <c r="B9" s="11">
        <f t="shared" ref="B9:B72" si="2">1+B8</f>
        <v>3</v>
      </c>
      <c r="C9" s="19" t="s">
        <v>483</v>
      </c>
      <c r="D9" s="19"/>
      <c r="E9" s="118" t="s">
        <v>483</v>
      </c>
      <c r="F9" s="14">
        <v>414.75</v>
      </c>
      <c r="G9" s="15">
        <v>395</v>
      </c>
      <c r="H9" s="16">
        <v>19.75</v>
      </c>
      <c r="I9" s="18"/>
      <c r="J9" s="18">
        <f t="shared" si="0"/>
        <v>414.75</v>
      </c>
      <c r="K9" s="32"/>
      <c r="L9" s="33">
        <f t="shared" si="1"/>
        <v>0</v>
      </c>
      <c r="M9" s="37"/>
    </row>
    <row r="10" spans="2:13">
      <c r="B10" s="11">
        <f t="shared" si="2"/>
        <v>4</v>
      </c>
      <c r="C10" s="19" t="s">
        <v>484</v>
      </c>
      <c r="D10" s="19"/>
      <c r="E10" s="31" t="s">
        <v>484</v>
      </c>
      <c r="F10" s="14">
        <v>414.75</v>
      </c>
      <c r="G10" s="15">
        <v>395</v>
      </c>
      <c r="H10" s="16">
        <v>19.75</v>
      </c>
      <c r="I10" s="18"/>
      <c r="J10" s="18">
        <f t="shared" si="0"/>
        <v>414.75</v>
      </c>
      <c r="K10" s="32"/>
      <c r="L10" s="33">
        <f t="shared" si="1"/>
        <v>0</v>
      </c>
      <c r="M10" s="37"/>
    </row>
    <row r="11" spans="2:13" ht="16.5" customHeight="1">
      <c r="B11" s="11">
        <f t="shared" si="2"/>
        <v>5</v>
      </c>
      <c r="C11" s="19">
        <v>9202729</v>
      </c>
      <c r="D11" s="19"/>
      <c r="E11" s="118" t="s">
        <v>485</v>
      </c>
      <c r="F11" s="14">
        <v>525</v>
      </c>
      <c r="G11" s="15">
        <v>500</v>
      </c>
      <c r="H11" s="16">
        <v>25</v>
      </c>
      <c r="I11" s="18"/>
      <c r="J11" s="18">
        <f t="shared" si="0"/>
        <v>525</v>
      </c>
      <c r="K11" s="32"/>
      <c r="L11" s="33">
        <f t="shared" si="1"/>
        <v>0</v>
      </c>
      <c r="M11" s="37"/>
    </row>
    <row r="12" spans="2:13">
      <c r="B12" s="11">
        <f t="shared" si="2"/>
        <v>6</v>
      </c>
      <c r="C12" s="19" t="s">
        <v>486</v>
      </c>
      <c r="D12" s="19"/>
      <c r="E12" s="119" t="s">
        <v>132</v>
      </c>
      <c r="F12" s="14">
        <v>454.89</v>
      </c>
      <c r="G12" s="20">
        <v>200</v>
      </c>
      <c r="H12" s="21">
        <v>10.09</v>
      </c>
      <c r="I12" s="18">
        <v>244.8</v>
      </c>
      <c r="J12" s="18">
        <f t="shared" si="0"/>
        <v>454.89</v>
      </c>
      <c r="K12" s="32"/>
      <c r="L12" s="33">
        <f t="shared" si="1"/>
        <v>0</v>
      </c>
      <c r="M12" s="37"/>
    </row>
    <row r="13" spans="2:13">
      <c r="B13" s="11">
        <f t="shared" si="2"/>
        <v>7</v>
      </c>
      <c r="C13" s="19" t="s">
        <v>487</v>
      </c>
      <c r="D13" s="19"/>
      <c r="E13" s="119" t="s">
        <v>134</v>
      </c>
      <c r="F13" s="14">
        <v>401.5</v>
      </c>
      <c r="G13" s="20">
        <v>200</v>
      </c>
      <c r="H13" s="21">
        <v>10</v>
      </c>
      <c r="I13" s="18">
        <v>191.5</v>
      </c>
      <c r="J13" s="18">
        <f t="shared" si="0"/>
        <v>401.5</v>
      </c>
      <c r="K13" s="32"/>
      <c r="L13" s="33">
        <f t="shared" si="1"/>
        <v>0</v>
      </c>
      <c r="M13" s="37"/>
    </row>
    <row r="14" spans="2:13" ht="16.5" customHeight="1">
      <c r="B14" s="11">
        <f t="shared" si="2"/>
        <v>8</v>
      </c>
      <c r="C14" s="19" t="s">
        <v>488</v>
      </c>
      <c r="D14" s="19"/>
      <c r="E14" s="119" t="s">
        <v>136</v>
      </c>
      <c r="F14" s="14">
        <v>210</v>
      </c>
      <c r="G14" s="20">
        <v>200</v>
      </c>
      <c r="H14" s="21">
        <v>10</v>
      </c>
      <c r="I14" s="18"/>
      <c r="J14" s="18">
        <f t="shared" si="0"/>
        <v>210</v>
      </c>
      <c r="K14" s="32"/>
      <c r="L14" s="33">
        <f t="shared" si="1"/>
        <v>0</v>
      </c>
      <c r="M14" s="37"/>
    </row>
    <row r="15" spans="2:13" ht="16.5" customHeight="1">
      <c r="B15" s="11">
        <f t="shared" si="2"/>
        <v>9</v>
      </c>
      <c r="C15" s="19" t="s">
        <v>489</v>
      </c>
      <c r="D15" s="19"/>
      <c r="E15" s="119" t="s">
        <v>138</v>
      </c>
      <c r="F15" s="14">
        <v>210</v>
      </c>
      <c r="G15" s="20">
        <v>200</v>
      </c>
      <c r="H15" s="21">
        <v>10</v>
      </c>
      <c r="I15" s="18"/>
      <c r="J15" s="18">
        <f t="shared" si="0"/>
        <v>210</v>
      </c>
      <c r="K15" s="32"/>
      <c r="L15" s="33">
        <f t="shared" si="1"/>
        <v>0</v>
      </c>
      <c r="M15" s="37"/>
    </row>
    <row r="16" spans="2:13" ht="16.5" customHeight="1">
      <c r="B16" s="11">
        <f t="shared" si="2"/>
        <v>10</v>
      </c>
      <c r="C16" s="19" t="s">
        <v>490</v>
      </c>
      <c r="D16" s="19">
        <v>101074</v>
      </c>
      <c r="E16" s="120" t="s">
        <v>79</v>
      </c>
      <c r="F16" s="14">
        <v>1060.6300000000001</v>
      </c>
      <c r="G16" s="15">
        <v>325</v>
      </c>
      <c r="H16" s="16">
        <v>16.93</v>
      </c>
      <c r="I16" s="18">
        <v>718.7</v>
      </c>
      <c r="J16" s="18">
        <f t="shared" si="0"/>
        <v>1060.6300000000001</v>
      </c>
      <c r="K16" s="32"/>
      <c r="L16" s="33">
        <f t="shared" si="1"/>
        <v>0</v>
      </c>
      <c r="M16" s="37"/>
    </row>
    <row r="17" spans="1:38 16345:16345" ht="16.5" customHeight="1">
      <c r="A17" s="6" t="s">
        <v>491</v>
      </c>
      <c r="B17" s="11">
        <f t="shared" si="2"/>
        <v>11</v>
      </c>
      <c r="C17" s="19" t="s">
        <v>492</v>
      </c>
      <c r="D17" s="19"/>
      <c r="E17" s="118" t="s">
        <v>493</v>
      </c>
      <c r="F17" s="14">
        <v>105</v>
      </c>
      <c r="G17" s="15">
        <v>100</v>
      </c>
      <c r="H17" s="16">
        <v>5</v>
      </c>
      <c r="I17" s="18"/>
      <c r="J17" s="18">
        <f t="shared" si="0"/>
        <v>105</v>
      </c>
      <c r="K17" s="32"/>
      <c r="L17" s="33">
        <f t="shared" si="1"/>
        <v>0</v>
      </c>
      <c r="M17" s="34" t="s">
        <v>494</v>
      </c>
    </row>
    <row r="18" spans="1:38 16345:16345" ht="16.5" customHeight="1">
      <c r="B18" s="11">
        <f t="shared" si="2"/>
        <v>12</v>
      </c>
      <c r="C18" s="19" t="s">
        <v>495</v>
      </c>
      <c r="D18" s="19"/>
      <c r="E18" s="118" t="s">
        <v>496</v>
      </c>
      <c r="F18" s="14">
        <v>52.5</v>
      </c>
      <c r="G18" s="15">
        <v>50</v>
      </c>
      <c r="H18" s="16">
        <v>2.5</v>
      </c>
      <c r="I18" s="18"/>
      <c r="J18" s="18">
        <f t="shared" si="0"/>
        <v>52.5</v>
      </c>
      <c r="K18" s="32"/>
      <c r="L18" s="33">
        <f t="shared" si="1"/>
        <v>0</v>
      </c>
      <c r="M18" s="37"/>
    </row>
    <row r="19" spans="1:38 16345:16345">
      <c r="B19" s="11">
        <f t="shared" si="2"/>
        <v>13</v>
      </c>
      <c r="C19" s="19" t="s">
        <v>497</v>
      </c>
      <c r="D19" s="19">
        <v>101028</v>
      </c>
      <c r="E19" s="31" t="s">
        <v>498</v>
      </c>
      <c r="F19" s="14">
        <v>256.91000000000003</v>
      </c>
      <c r="G19" s="53">
        <v>100</v>
      </c>
      <c r="H19" s="54">
        <v>12.23</v>
      </c>
      <c r="I19" s="43">
        <v>144.68</v>
      </c>
      <c r="J19" s="18">
        <f>SUM(G19:I19)</f>
        <v>256.91000000000003</v>
      </c>
      <c r="K19" s="61"/>
      <c r="L19" s="33">
        <f t="shared" si="1"/>
        <v>0</v>
      </c>
      <c r="M19" s="37"/>
    </row>
    <row r="20" spans="1:38 16345:16345">
      <c r="B20" s="11">
        <f t="shared" si="2"/>
        <v>14</v>
      </c>
      <c r="C20" s="19" t="s">
        <v>499</v>
      </c>
      <c r="D20" s="19">
        <v>101396</v>
      </c>
      <c r="E20" s="31" t="s">
        <v>500</v>
      </c>
      <c r="F20" s="14">
        <v>52.5</v>
      </c>
      <c r="G20" s="15">
        <v>50</v>
      </c>
      <c r="H20" s="16">
        <v>2.5</v>
      </c>
      <c r="I20" s="18"/>
      <c r="J20" s="18">
        <f>SUM(G20+H20+I20)</f>
        <v>52.5</v>
      </c>
      <c r="K20" s="32"/>
      <c r="L20" s="33">
        <f t="shared" si="1"/>
        <v>0</v>
      </c>
      <c r="M20" s="37"/>
    </row>
    <row r="21" spans="1:38 16345:16345">
      <c r="B21" s="11">
        <f t="shared" si="2"/>
        <v>15</v>
      </c>
      <c r="C21" s="19" t="s">
        <v>501</v>
      </c>
      <c r="D21" s="19">
        <v>101268</v>
      </c>
      <c r="E21" s="31" t="s">
        <v>93</v>
      </c>
      <c r="F21" s="14">
        <v>227.44</v>
      </c>
      <c r="G21" s="15">
        <v>50</v>
      </c>
      <c r="H21" s="16">
        <v>8.1199999999999992</v>
      </c>
      <c r="I21" s="18">
        <v>169.32</v>
      </c>
      <c r="J21" s="18">
        <f>SUM(G21+H21+I21)</f>
        <v>227.44</v>
      </c>
      <c r="K21" s="32"/>
      <c r="L21" s="33">
        <f t="shared" si="1"/>
        <v>0</v>
      </c>
      <c r="M21" s="37"/>
    </row>
    <row r="22" spans="1:38 16345:16345" s="39" customFormat="1" ht="15" customHeight="1">
      <c r="A22" s="6"/>
      <c r="B22" s="11">
        <f t="shared" si="2"/>
        <v>16</v>
      </c>
      <c r="C22" s="19" t="s">
        <v>416</v>
      </c>
      <c r="D22" s="19">
        <v>101611</v>
      </c>
      <c r="E22" s="118" t="s">
        <v>321</v>
      </c>
      <c r="F22" s="14">
        <v>52.5</v>
      </c>
      <c r="G22" s="20">
        <v>50</v>
      </c>
      <c r="H22" s="21">
        <v>2.5</v>
      </c>
      <c r="I22" s="161"/>
      <c r="J22" s="18">
        <f>SUM(G22+H22+I22)</f>
        <v>52.5</v>
      </c>
      <c r="K22" s="32"/>
      <c r="L22" s="33">
        <f t="shared" si="1"/>
        <v>0</v>
      </c>
      <c r="M22" s="3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XDQ22" s="39">
        <f>SUBTOTAL(9,L22:XDP22)</f>
        <v>0</v>
      </c>
    </row>
    <row r="23" spans="1:38 16345:16345">
      <c r="B23" s="11">
        <f t="shared" si="2"/>
        <v>17</v>
      </c>
      <c r="C23" s="19" t="s">
        <v>502</v>
      </c>
      <c r="D23" s="19">
        <v>101806</v>
      </c>
      <c r="E23" s="31" t="s">
        <v>503</v>
      </c>
      <c r="F23" s="14">
        <v>206.35</v>
      </c>
      <c r="G23" s="15">
        <v>50</v>
      </c>
      <c r="H23" s="54">
        <v>9.83</v>
      </c>
      <c r="I23" s="18"/>
      <c r="J23" s="18">
        <f>SUM(G23+H23+I23)</f>
        <v>59.83</v>
      </c>
      <c r="K23" s="32">
        <v>146.52000000000001</v>
      </c>
      <c r="L23" s="33">
        <f t="shared" si="1"/>
        <v>-2.8421709430404007E-14</v>
      </c>
      <c r="M23" s="37" t="s">
        <v>504</v>
      </c>
    </row>
    <row r="24" spans="1:38 16345:16345">
      <c r="B24" s="11">
        <f t="shared" si="2"/>
        <v>18</v>
      </c>
      <c r="C24" s="19" t="s">
        <v>505</v>
      </c>
      <c r="D24" s="19">
        <v>101849</v>
      </c>
      <c r="E24" s="31" t="s">
        <v>506</v>
      </c>
      <c r="F24" s="14">
        <v>72.38</v>
      </c>
      <c r="G24" s="20">
        <v>50</v>
      </c>
      <c r="H24" s="21">
        <v>2.71</v>
      </c>
      <c r="I24" s="43">
        <v>19.670000000000002</v>
      </c>
      <c r="J24" s="18">
        <f>SUM(G24:I24)</f>
        <v>72.38</v>
      </c>
      <c r="K24" s="32"/>
      <c r="L24" s="33">
        <f t="shared" si="1"/>
        <v>0</v>
      </c>
      <c r="M24" s="37"/>
    </row>
    <row r="25" spans="1:38 16345:16345">
      <c r="B25" s="11">
        <f t="shared" si="2"/>
        <v>19</v>
      </c>
      <c r="C25" s="19" t="s">
        <v>57</v>
      </c>
      <c r="D25" s="19">
        <v>101747</v>
      </c>
      <c r="E25" s="31" t="s">
        <v>59</v>
      </c>
      <c r="F25" s="14">
        <v>332.99</v>
      </c>
      <c r="G25" s="53">
        <v>50</v>
      </c>
      <c r="H25" s="54">
        <v>2.5</v>
      </c>
      <c r="I25" s="18">
        <v>280.49</v>
      </c>
      <c r="J25" s="18">
        <f>SUM(G25:I25)</f>
        <v>332.99</v>
      </c>
      <c r="K25" s="32"/>
      <c r="L25" s="33">
        <f t="shared" si="1"/>
        <v>0</v>
      </c>
      <c r="M25" s="37"/>
    </row>
    <row r="26" spans="1:38 16345:16345">
      <c r="B26" s="11">
        <f t="shared" si="2"/>
        <v>20</v>
      </c>
      <c r="C26" s="19" t="s">
        <v>421</v>
      </c>
      <c r="D26" s="19">
        <v>101555</v>
      </c>
      <c r="E26" s="31" t="s">
        <v>422</v>
      </c>
      <c r="F26" s="14">
        <v>105</v>
      </c>
      <c r="G26" s="15">
        <v>100</v>
      </c>
      <c r="H26" s="16">
        <v>5</v>
      </c>
      <c r="I26" s="18"/>
      <c r="J26" s="18">
        <f t="shared" ref="J26:J59" si="3">SUM(G26+H26+I26)</f>
        <v>105</v>
      </c>
      <c r="K26" s="32"/>
      <c r="L26" s="33">
        <f t="shared" si="1"/>
        <v>0</v>
      </c>
      <c r="M26" s="37"/>
    </row>
    <row r="27" spans="1:38 16345:16345">
      <c r="B27" s="11">
        <f t="shared" si="2"/>
        <v>21</v>
      </c>
      <c r="C27" s="19" t="s">
        <v>507</v>
      </c>
      <c r="D27" s="19">
        <v>101412</v>
      </c>
      <c r="E27" s="31" t="s">
        <v>183</v>
      </c>
      <c r="F27" s="14">
        <v>64.819999999999993</v>
      </c>
      <c r="G27" s="20">
        <v>50</v>
      </c>
      <c r="H27" s="21">
        <v>2.52</v>
      </c>
      <c r="I27" s="18">
        <v>12.3</v>
      </c>
      <c r="J27" s="18">
        <f t="shared" si="3"/>
        <v>64.820000000000007</v>
      </c>
      <c r="K27" s="32"/>
      <c r="L27" s="33">
        <f t="shared" si="1"/>
        <v>-1.4210854715202004E-14</v>
      </c>
      <c r="M27" s="37"/>
    </row>
    <row r="28" spans="1:38 16345:16345">
      <c r="B28" s="11">
        <f t="shared" si="2"/>
        <v>22</v>
      </c>
      <c r="C28" s="19" t="s">
        <v>508</v>
      </c>
      <c r="D28" s="19">
        <v>101057</v>
      </c>
      <c r="E28" s="118" t="s">
        <v>86</v>
      </c>
      <c r="F28" s="14">
        <v>52.5</v>
      </c>
      <c r="G28" s="15">
        <v>50</v>
      </c>
      <c r="H28" s="16">
        <v>2.5</v>
      </c>
      <c r="I28" s="18"/>
      <c r="J28" s="18">
        <f t="shared" si="3"/>
        <v>52.5</v>
      </c>
      <c r="K28" s="32"/>
      <c r="L28" s="33">
        <f t="shared" si="1"/>
        <v>0</v>
      </c>
      <c r="M28" s="37"/>
    </row>
    <row r="29" spans="1:38 16345:16345">
      <c r="B29" s="11">
        <f t="shared" si="2"/>
        <v>23</v>
      </c>
      <c r="C29" s="19" t="s">
        <v>509</v>
      </c>
      <c r="D29" s="19">
        <v>101208</v>
      </c>
      <c r="E29" s="31" t="s">
        <v>510</v>
      </c>
      <c r="F29" s="14">
        <v>105</v>
      </c>
      <c r="G29" s="15">
        <v>100</v>
      </c>
      <c r="H29" s="16">
        <v>5</v>
      </c>
      <c r="I29" s="18"/>
      <c r="J29" s="18">
        <f t="shared" si="3"/>
        <v>105</v>
      </c>
      <c r="K29" s="32"/>
      <c r="L29" s="33">
        <f t="shared" si="1"/>
        <v>0</v>
      </c>
      <c r="M29" s="37"/>
    </row>
    <row r="30" spans="1:38 16345:16345">
      <c r="B30" s="11">
        <f t="shared" si="2"/>
        <v>24</v>
      </c>
      <c r="C30" s="19" t="s">
        <v>511</v>
      </c>
      <c r="D30" s="19">
        <v>101630</v>
      </c>
      <c r="E30" s="118" t="s">
        <v>512</v>
      </c>
      <c r="F30" s="14">
        <v>52.5</v>
      </c>
      <c r="G30" s="15">
        <v>50</v>
      </c>
      <c r="H30" s="16">
        <v>2.5</v>
      </c>
      <c r="I30" s="18"/>
      <c r="J30" s="18">
        <f t="shared" si="3"/>
        <v>52.5</v>
      </c>
      <c r="K30" s="32"/>
      <c r="L30" s="33">
        <f t="shared" si="1"/>
        <v>0</v>
      </c>
      <c r="M30" s="37"/>
    </row>
    <row r="31" spans="1:38 16345:16345">
      <c r="B31" s="11">
        <f t="shared" si="2"/>
        <v>25</v>
      </c>
      <c r="C31" s="19" t="s">
        <v>413</v>
      </c>
      <c r="D31" s="19">
        <v>101754</v>
      </c>
      <c r="E31" s="31" t="s">
        <v>513</v>
      </c>
      <c r="F31" s="14">
        <v>105.61</v>
      </c>
      <c r="G31" s="15">
        <v>75</v>
      </c>
      <c r="H31" s="16">
        <v>5.03</v>
      </c>
      <c r="I31" s="18"/>
      <c r="J31" s="18">
        <f t="shared" si="3"/>
        <v>80.03</v>
      </c>
      <c r="K31" s="32">
        <v>25.58</v>
      </c>
      <c r="L31" s="33">
        <f t="shared" si="1"/>
        <v>0</v>
      </c>
      <c r="M31" s="37" t="s">
        <v>514</v>
      </c>
    </row>
    <row r="32" spans="1:38 16345:16345" ht="15" customHeight="1">
      <c r="B32" s="11">
        <f t="shared" si="2"/>
        <v>26</v>
      </c>
      <c r="C32" s="19" t="s">
        <v>515</v>
      </c>
      <c r="D32" s="19">
        <v>101786</v>
      </c>
      <c r="E32" s="118" t="s">
        <v>516</v>
      </c>
      <c r="F32" s="14">
        <v>83.16</v>
      </c>
      <c r="G32" s="15">
        <v>50</v>
      </c>
      <c r="H32" s="16">
        <v>3.96</v>
      </c>
      <c r="I32" s="18"/>
      <c r="J32" s="18">
        <f t="shared" si="3"/>
        <v>53.96</v>
      </c>
      <c r="K32" s="32">
        <v>29.2</v>
      </c>
      <c r="L32" s="33">
        <f t="shared" si="1"/>
        <v>0</v>
      </c>
      <c r="M32" s="37" t="s">
        <v>504</v>
      </c>
    </row>
    <row r="33" spans="1:107">
      <c r="B33" s="11">
        <f t="shared" si="2"/>
        <v>27</v>
      </c>
      <c r="C33" s="19" t="s">
        <v>517</v>
      </c>
      <c r="D33" s="19"/>
      <c r="E33" s="31" t="s">
        <v>153</v>
      </c>
      <c r="F33" s="14">
        <v>52.5</v>
      </c>
      <c r="G33" s="20">
        <v>50</v>
      </c>
      <c r="H33" s="21">
        <v>2.5</v>
      </c>
      <c r="I33" s="18"/>
      <c r="J33" s="18">
        <f t="shared" si="3"/>
        <v>52.5</v>
      </c>
      <c r="K33" s="32"/>
      <c r="L33" s="33">
        <f t="shared" si="1"/>
        <v>0</v>
      </c>
      <c r="M33" s="37"/>
    </row>
    <row r="34" spans="1:107">
      <c r="B34" s="11">
        <f t="shared" si="2"/>
        <v>28</v>
      </c>
      <c r="C34" s="19" t="s">
        <v>403</v>
      </c>
      <c r="D34" s="19"/>
      <c r="E34" s="31" t="s">
        <v>518</v>
      </c>
      <c r="F34" s="14">
        <v>52.5</v>
      </c>
      <c r="G34" s="20">
        <v>50</v>
      </c>
      <c r="H34" s="21">
        <v>2.5</v>
      </c>
      <c r="I34" s="18"/>
      <c r="J34" s="18">
        <f t="shared" si="3"/>
        <v>52.5</v>
      </c>
      <c r="K34" s="32"/>
      <c r="L34" s="33">
        <f t="shared" si="1"/>
        <v>0</v>
      </c>
      <c r="M34" s="37"/>
    </row>
    <row r="35" spans="1:107">
      <c r="B35" s="11">
        <f t="shared" si="2"/>
        <v>29</v>
      </c>
      <c r="C35" s="132" t="s">
        <v>519</v>
      </c>
      <c r="D35" s="197"/>
      <c r="E35" s="31" t="s">
        <v>520</v>
      </c>
      <c r="F35" s="14">
        <v>52.5</v>
      </c>
      <c r="G35" s="130">
        <v>50</v>
      </c>
      <c r="H35" s="131">
        <v>2.5</v>
      </c>
      <c r="I35" s="18"/>
      <c r="J35" s="18">
        <f t="shared" si="3"/>
        <v>52.5</v>
      </c>
      <c r="K35" s="32"/>
      <c r="L35" s="33">
        <f t="shared" si="1"/>
        <v>0</v>
      </c>
      <c r="M35" s="37"/>
      <c r="N35" s="40"/>
    </row>
    <row r="36" spans="1:107">
      <c r="B36" s="11">
        <f t="shared" si="2"/>
        <v>30</v>
      </c>
      <c r="C36" s="19" t="s">
        <v>521</v>
      </c>
      <c r="D36" s="19">
        <v>101788</v>
      </c>
      <c r="E36" s="125" t="s">
        <v>522</v>
      </c>
      <c r="F36" s="14">
        <v>114.95</v>
      </c>
      <c r="G36" s="53">
        <v>100</v>
      </c>
      <c r="H36" s="54">
        <v>5.47</v>
      </c>
      <c r="I36" s="18">
        <v>9.48</v>
      </c>
      <c r="J36" s="18">
        <f t="shared" si="3"/>
        <v>114.95</v>
      </c>
      <c r="K36" s="32"/>
      <c r="L36" s="33">
        <f t="shared" si="1"/>
        <v>0</v>
      </c>
      <c r="M36" s="37"/>
      <c r="N36" s="58"/>
    </row>
    <row r="37" spans="1:107" ht="15.75" customHeight="1">
      <c r="B37" s="11">
        <f t="shared" si="2"/>
        <v>31</v>
      </c>
      <c r="C37" s="19" t="s">
        <v>523</v>
      </c>
      <c r="D37" s="19">
        <v>101798</v>
      </c>
      <c r="E37" s="31" t="s">
        <v>524</v>
      </c>
      <c r="F37" s="14">
        <v>105</v>
      </c>
      <c r="G37" s="15">
        <v>100</v>
      </c>
      <c r="H37" s="54">
        <v>5</v>
      </c>
      <c r="I37" s="18"/>
      <c r="J37" s="18">
        <f t="shared" si="3"/>
        <v>105</v>
      </c>
      <c r="K37" s="32"/>
      <c r="L37" s="33">
        <f t="shared" si="1"/>
        <v>0</v>
      </c>
      <c r="M37" s="37"/>
      <c r="N37" s="59" t="s">
        <v>525</v>
      </c>
    </row>
    <row r="38" spans="1:107">
      <c r="B38" s="11">
        <f t="shared" si="2"/>
        <v>32</v>
      </c>
      <c r="C38" s="19" t="s">
        <v>526</v>
      </c>
      <c r="D38" s="19">
        <v>101859</v>
      </c>
      <c r="E38" s="118" t="s">
        <v>74</v>
      </c>
      <c r="F38" s="14">
        <v>55.86</v>
      </c>
      <c r="G38" s="15">
        <v>50</v>
      </c>
      <c r="H38" s="16">
        <v>2.5</v>
      </c>
      <c r="I38" s="18">
        <v>3.36</v>
      </c>
      <c r="J38" s="18">
        <f t="shared" si="3"/>
        <v>55.86</v>
      </c>
      <c r="K38" s="32"/>
      <c r="L38" s="33">
        <f t="shared" si="1"/>
        <v>0</v>
      </c>
      <c r="M38" s="37"/>
      <c r="N38" s="60" t="s">
        <v>79</v>
      </c>
    </row>
    <row r="39" spans="1:107">
      <c r="B39" s="11">
        <f t="shared" si="2"/>
        <v>33</v>
      </c>
      <c r="C39" s="19" t="s">
        <v>527</v>
      </c>
      <c r="D39" s="19">
        <v>101564</v>
      </c>
      <c r="E39" s="31" t="s">
        <v>528</v>
      </c>
      <c r="F39" s="14">
        <v>241.63</v>
      </c>
      <c r="G39" s="15">
        <v>200</v>
      </c>
      <c r="H39" s="16">
        <v>11.51</v>
      </c>
      <c r="I39" s="18">
        <v>30.12</v>
      </c>
      <c r="J39" s="18">
        <f t="shared" si="3"/>
        <v>241.63</v>
      </c>
      <c r="K39" s="32"/>
      <c r="L39" s="33">
        <f t="shared" ref="L39:L75" si="4">+(F39-((SUM(J39+K39))))</f>
        <v>0</v>
      </c>
      <c r="M39" s="37"/>
      <c r="N39" s="40"/>
    </row>
    <row r="40" spans="1:107" s="2" customFormat="1">
      <c r="A40" s="6"/>
      <c r="B40" s="11">
        <f t="shared" si="2"/>
        <v>34</v>
      </c>
      <c r="C40" s="19" t="s">
        <v>529</v>
      </c>
      <c r="D40" s="19">
        <v>101748</v>
      </c>
      <c r="E40" s="31" t="s">
        <v>530</v>
      </c>
      <c r="F40" s="14">
        <v>53.05</v>
      </c>
      <c r="G40" s="15">
        <v>50</v>
      </c>
      <c r="H40" s="16">
        <v>2.5</v>
      </c>
      <c r="I40" s="18">
        <v>0.55000000000000004</v>
      </c>
      <c r="J40" s="18">
        <f t="shared" si="3"/>
        <v>53.05</v>
      </c>
      <c r="K40" s="32"/>
      <c r="L40" s="33">
        <f t="shared" si="4"/>
        <v>0</v>
      </c>
      <c r="M40" s="37"/>
      <c r="N40" s="40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</row>
    <row r="41" spans="1:107">
      <c r="B41" s="11">
        <f t="shared" si="2"/>
        <v>35</v>
      </c>
      <c r="C41" s="19" t="s">
        <v>531</v>
      </c>
      <c r="D41" s="19">
        <v>101608</v>
      </c>
      <c r="E41" s="118" t="s">
        <v>532</v>
      </c>
      <c r="F41" s="14">
        <v>476.62</v>
      </c>
      <c r="G41" s="15">
        <v>50</v>
      </c>
      <c r="H41" s="16">
        <v>22.51</v>
      </c>
      <c r="I41" s="18">
        <v>400.11</v>
      </c>
      <c r="J41" s="18">
        <f t="shared" si="3"/>
        <v>472.62</v>
      </c>
      <c r="K41" s="32">
        <v>4</v>
      </c>
      <c r="L41" s="33">
        <f t="shared" si="4"/>
        <v>0</v>
      </c>
      <c r="M41" s="37" t="s">
        <v>504</v>
      </c>
      <c r="N41" s="40"/>
    </row>
    <row r="42" spans="1:107">
      <c r="B42" s="11">
        <f t="shared" si="2"/>
        <v>36</v>
      </c>
      <c r="C42" s="19" t="s">
        <v>533</v>
      </c>
      <c r="D42" s="19">
        <v>101845</v>
      </c>
      <c r="E42" s="31" t="s">
        <v>534</v>
      </c>
      <c r="F42" s="14">
        <v>214.16</v>
      </c>
      <c r="G42" s="53">
        <v>200</v>
      </c>
      <c r="H42" s="54">
        <v>10.199999999999999</v>
      </c>
      <c r="I42" s="18">
        <v>3.96</v>
      </c>
      <c r="J42" s="18">
        <f t="shared" si="3"/>
        <v>214.16</v>
      </c>
      <c r="K42" s="32"/>
      <c r="L42" s="33">
        <f t="shared" si="4"/>
        <v>0</v>
      </c>
      <c r="M42" s="37"/>
      <c r="N42" s="40"/>
    </row>
    <row r="43" spans="1:107" ht="15" customHeight="1">
      <c r="B43" s="11">
        <f t="shared" si="2"/>
        <v>37</v>
      </c>
      <c r="C43" s="19" t="s">
        <v>535</v>
      </c>
      <c r="D43" s="19">
        <v>101022</v>
      </c>
      <c r="E43" s="31" t="s">
        <v>185</v>
      </c>
      <c r="F43" s="14">
        <v>120.26</v>
      </c>
      <c r="G43" s="20">
        <v>100</v>
      </c>
      <c r="H43" s="21">
        <v>5.0599999999999996</v>
      </c>
      <c r="I43" s="18">
        <v>15.2</v>
      </c>
      <c r="J43" s="18">
        <f t="shared" si="3"/>
        <v>120.26</v>
      </c>
      <c r="K43" s="32"/>
      <c r="L43" s="33">
        <f t="shared" si="4"/>
        <v>0</v>
      </c>
      <c r="M43" s="37"/>
      <c r="N43" s="195"/>
    </row>
    <row r="44" spans="1:107">
      <c r="B44" s="11">
        <f t="shared" si="2"/>
        <v>38</v>
      </c>
      <c r="C44" s="19" t="s">
        <v>536</v>
      </c>
      <c r="D44" s="19">
        <v>101864</v>
      </c>
      <c r="E44" s="31" t="s">
        <v>537</v>
      </c>
      <c r="F44" s="14">
        <v>52.5</v>
      </c>
      <c r="G44" s="15">
        <v>50</v>
      </c>
      <c r="H44" s="16">
        <v>2.5</v>
      </c>
      <c r="I44" s="18"/>
      <c r="J44" s="18">
        <f t="shared" si="3"/>
        <v>52.5</v>
      </c>
      <c r="K44" s="32"/>
      <c r="L44" s="33">
        <f t="shared" si="4"/>
        <v>0</v>
      </c>
      <c r="M44" s="37"/>
      <c r="N44" s="194"/>
    </row>
    <row r="45" spans="1:107">
      <c r="B45" s="11">
        <f t="shared" si="2"/>
        <v>39</v>
      </c>
      <c r="C45" s="19" t="s">
        <v>538</v>
      </c>
      <c r="D45" s="19">
        <v>101429</v>
      </c>
      <c r="E45" s="31" t="s">
        <v>165</v>
      </c>
      <c r="F45" s="14">
        <v>52.5</v>
      </c>
      <c r="G45" s="20">
        <v>50</v>
      </c>
      <c r="H45" s="21">
        <v>2.5</v>
      </c>
      <c r="I45" s="18"/>
      <c r="J45" s="18">
        <f t="shared" si="3"/>
        <v>52.5</v>
      </c>
      <c r="K45" s="32"/>
      <c r="L45" s="33">
        <f t="shared" si="4"/>
        <v>0</v>
      </c>
      <c r="M45" s="37"/>
      <c r="N45" s="6" t="s">
        <v>539</v>
      </c>
    </row>
    <row r="46" spans="1:107">
      <c r="B46" s="11">
        <f t="shared" si="2"/>
        <v>40</v>
      </c>
      <c r="C46" s="19" t="s">
        <v>540</v>
      </c>
      <c r="D46" s="19">
        <v>101790</v>
      </c>
      <c r="E46" s="31" t="s">
        <v>541</v>
      </c>
      <c r="F46" s="14">
        <v>55.06</v>
      </c>
      <c r="G46" s="15">
        <v>50</v>
      </c>
      <c r="H46" s="54">
        <v>2.63</v>
      </c>
      <c r="I46" s="18">
        <v>2.4300000000000002</v>
      </c>
      <c r="J46" s="18">
        <f t="shared" si="3"/>
        <v>55.06</v>
      </c>
      <c r="K46" s="32"/>
      <c r="L46" s="33">
        <f t="shared" si="4"/>
        <v>0</v>
      </c>
      <c r="M46" s="37"/>
      <c r="N46" s="6" t="s">
        <v>542</v>
      </c>
    </row>
    <row r="47" spans="1:107">
      <c r="B47" s="11">
        <f t="shared" si="2"/>
        <v>41</v>
      </c>
      <c r="C47" s="19" t="s">
        <v>543</v>
      </c>
      <c r="D47" s="19">
        <v>101789</v>
      </c>
      <c r="E47" s="118" t="s">
        <v>544</v>
      </c>
      <c r="F47" s="14">
        <v>210</v>
      </c>
      <c r="G47" s="15">
        <v>200</v>
      </c>
      <c r="H47" s="16">
        <v>10</v>
      </c>
      <c r="I47" s="18"/>
      <c r="J47" s="18">
        <f t="shared" si="3"/>
        <v>210</v>
      </c>
      <c r="K47" s="32"/>
      <c r="L47" s="33">
        <f t="shared" si="4"/>
        <v>0</v>
      </c>
      <c r="M47" s="37"/>
      <c r="N47" s="40"/>
    </row>
    <row r="48" spans="1:107">
      <c r="B48" s="11">
        <f t="shared" si="2"/>
        <v>42</v>
      </c>
      <c r="C48" s="19" t="s">
        <v>545</v>
      </c>
      <c r="D48" s="19">
        <v>101848</v>
      </c>
      <c r="E48" s="118" t="s">
        <v>546</v>
      </c>
      <c r="F48" s="14">
        <v>54.82</v>
      </c>
      <c r="G48" s="15">
        <v>50</v>
      </c>
      <c r="H48" s="16">
        <v>2.52</v>
      </c>
      <c r="I48" s="18">
        <v>2.2999999999999998</v>
      </c>
      <c r="J48" s="18">
        <f t="shared" si="3"/>
        <v>54.82</v>
      </c>
      <c r="K48" s="32"/>
      <c r="L48" s="33">
        <f t="shared" si="4"/>
        <v>0</v>
      </c>
      <c r="M48" s="37"/>
      <c r="N48" s="40"/>
      <c r="O48" s="60"/>
    </row>
    <row r="49" spans="1:107" s="2" customFormat="1" ht="16.5" customHeight="1">
      <c r="A49" s="6"/>
      <c r="B49" s="11">
        <f t="shared" si="2"/>
        <v>43</v>
      </c>
      <c r="C49" s="19" t="s">
        <v>547</v>
      </c>
      <c r="D49" s="19">
        <v>101567</v>
      </c>
      <c r="E49" s="31" t="s">
        <v>548</v>
      </c>
      <c r="F49" s="14">
        <v>52.5</v>
      </c>
      <c r="G49" s="20">
        <v>50</v>
      </c>
      <c r="H49" s="21">
        <v>2.5</v>
      </c>
      <c r="I49" s="18"/>
      <c r="J49" s="18">
        <f t="shared" si="3"/>
        <v>52.5</v>
      </c>
      <c r="K49" s="32"/>
      <c r="L49" s="33">
        <f t="shared" si="4"/>
        <v>0</v>
      </c>
      <c r="M49" s="37"/>
      <c r="N49" s="40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</row>
    <row r="50" spans="1:107">
      <c r="B50" s="11">
        <f t="shared" si="2"/>
        <v>44</v>
      </c>
      <c r="C50" s="19" t="s">
        <v>549</v>
      </c>
      <c r="D50" s="19">
        <v>101739</v>
      </c>
      <c r="E50" s="118" t="s">
        <v>550</v>
      </c>
      <c r="F50" s="14">
        <v>58</v>
      </c>
      <c r="G50" s="15">
        <v>50</v>
      </c>
      <c r="H50" s="16">
        <v>2.76</v>
      </c>
      <c r="I50" s="18">
        <v>5.24</v>
      </c>
      <c r="J50" s="18">
        <f t="shared" si="3"/>
        <v>58</v>
      </c>
      <c r="K50" s="32"/>
      <c r="L50" s="33">
        <f t="shared" si="4"/>
        <v>0</v>
      </c>
      <c r="M50" s="37"/>
      <c r="N50" s="40"/>
    </row>
    <row r="51" spans="1:107">
      <c r="B51" s="11">
        <f t="shared" si="2"/>
        <v>45</v>
      </c>
      <c r="C51" s="19" t="s">
        <v>551</v>
      </c>
      <c r="D51" s="19">
        <v>101872</v>
      </c>
      <c r="E51" s="118" t="s">
        <v>552</v>
      </c>
      <c r="F51" s="14">
        <v>52.5</v>
      </c>
      <c r="G51" s="15">
        <v>50</v>
      </c>
      <c r="H51" s="16">
        <v>2.5</v>
      </c>
      <c r="I51" s="18"/>
      <c r="J51" s="18">
        <f t="shared" si="3"/>
        <v>52.5</v>
      </c>
      <c r="K51" s="32"/>
      <c r="L51" s="33">
        <f t="shared" si="4"/>
        <v>0</v>
      </c>
      <c r="M51" s="37"/>
      <c r="N51" s="195"/>
    </row>
    <row r="52" spans="1:107" ht="15" customHeight="1">
      <c r="B52" s="11">
        <f t="shared" si="2"/>
        <v>46</v>
      </c>
      <c r="C52" s="19" t="s">
        <v>553</v>
      </c>
      <c r="D52" s="19">
        <v>101780</v>
      </c>
      <c r="E52" s="118" t="s">
        <v>554</v>
      </c>
      <c r="F52" s="14">
        <v>52.63</v>
      </c>
      <c r="G52" s="15">
        <v>50</v>
      </c>
      <c r="H52" s="16">
        <v>2.5</v>
      </c>
      <c r="I52" s="18">
        <v>0.13</v>
      </c>
      <c r="J52" s="18">
        <f t="shared" si="3"/>
        <v>52.63</v>
      </c>
      <c r="K52" s="32"/>
      <c r="L52" s="33">
        <f t="shared" si="4"/>
        <v>0</v>
      </c>
      <c r="M52" s="37"/>
      <c r="N52" s="194"/>
    </row>
    <row r="53" spans="1:107" ht="16.5" customHeight="1">
      <c r="B53" s="11">
        <f t="shared" si="2"/>
        <v>47</v>
      </c>
      <c r="C53" s="116" t="s">
        <v>555</v>
      </c>
      <c r="D53" s="19">
        <v>105063</v>
      </c>
      <c r="E53" s="31" t="s">
        <v>556</v>
      </c>
      <c r="F53" s="14">
        <v>53.78</v>
      </c>
      <c r="G53" s="15">
        <v>50</v>
      </c>
      <c r="H53" s="54">
        <v>2.56</v>
      </c>
      <c r="I53" s="18">
        <v>1.22</v>
      </c>
      <c r="J53" s="18">
        <f t="shared" si="3"/>
        <v>53.78</v>
      </c>
      <c r="K53" s="32"/>
      <c r="L53" s="33">
        <f t="shared" si="4"/>
        <v>0</v>
      </c>
      <c r="M53" s="37"/>
      <c r="N53" s="6" t="s">
        <v>557</v>
      </c>
    </row>
    <row r="54" spans="1:107" ht="15.95" customHeight="1">
      <c r="B54" s="11">
        <f t="shared" si="2"/>
        <v>48</v>
      </c>
      <c r="C54" s="30" t="s">
        <v>558</v>
      </c>
      <c r="D54" s="19">
        <v>101451</v>
      </c>
      <c r="E54" s="84" t="s">
        <v>125</v>
      </c>
      <c r="F54" s="14">
        <v>138.81</v>
      </c>
      <c r="G54" s="15">
        <v>100</v>
      </c>
      <c r="H54" s="16">
        <v>6.61</v>
      </c>
      <c r="I54" s="25"/>
      <c r="J54" s="18">
        <f>SUM(G54+H54+I54)</f>
        <v>106.61</v>
      </c>
      <c r="K54" s="35">
        <v>32.200000000000003</v>
      </c>
      <c r="L54" s="36">
        <f t="shared" si="4"/>
        <v>0</v>
      </c>
      <c r="M54" s="37" t="s">
        <v>504</v>
      </c>
      <c r="N54" s="6" t="s">
        <v>559</v>
      </c>
    </row>
    <row r="55" spans="1:107">
      <c r="B55" s="11">
        <f t="shared" si="2"/>
        <v>49</v>
      </c>
      <c r="C55" s="19" t="s">
        <v>560</v>
      </c>
      <c r="D55" s="19">
        <v>101760</v>
      </c>
      <c r="E55" s="31" t="s">
        <v>561</v>
      </c>
      <c r="F55" s="14">
        <v>52.5</v>
      </c>
      <c r="G55" s="15">
        <v>50</v>
      </c>
      <c r="H55" s="16">
        <v>2.5</v>
      </c>
      <c r="I55" s="18"/>
      <c r="J55" s="18">
        <f t="shared" si="3"/>
        <v>52.5</v>
      </c>
      <c r="K55" s="32"/>
      <c r="L55" s="33">
        <f t="shared" si="4"/>
        <v>0</v>
      </c>
      <c r="M55" s="37"/>
    </row>
    <row r="56" spans="1:107">
      <c r="B56" s="11">
        <f t="shared" si="2"/>
        <v>50</v>
      </c>
      <c r="C56" s="19" t="s">
        <v>562</v>
      </c>
      <c r="D56" s="19">
        <v>101575</v>
      </c>
      <c r="E56" s="31" t="s">
        <v>563</v>
      </c>
      <c r="F56" s="14">
        <v>75.599999999999994</v>
      </c>
      <c r="G56" s="20">
        <v>50</v>
      </c>
      <c r="H56" s="16">
        <v>3.6</v>
      </c>
      <c r="I56" s="18">
        <v>22</v>
      </c>
      <c r="J56" s="18">
        <f t="shared" si="3"/>
        <v>75.599999999999994</v>
      </c>
      <c r="K56" s="32"/>
      <c r="L56" s="33">
        <f t="shared" si="4"/>
        <v>0</v>
      </c>
      <c r="M56" s="37"/>
    </row>
    <row r="57" spans="1:107">
      <c r="B57" s="11">
        <f t="shared" si="2"/>
        <v>51</v>
      </c>
      <c r="C57" s="19" t="s">
        <v>564</v>
      </c>
      <c r="D57" s="19">
        <v>101852</v>
      </c>
      <c r="E57" s="31" t="s">
        <v>307</v>
      </c>
      <c r="F57" s="14">
        <v>105.32</v>
      </c>
      <c r="G57" s="53">
        <v>100</v>
      </c>
      <c r="H57" s="54">
        <v>5.0199999999999996</v>
      </c>
      <c r="I57" s="43">
        <v>0.3</v>
      </c>
      <c r="J57" s="18">
        <f>SUM(G57:I57)</f>
        <v>105.32</v>
      </c>
      <c r="K57" s="61"/>
      <c r="L57" s="33">
        <f>+(F57-((SUM(J57+K57))))</f>
        <v>0</v>
      </c>
      <c r="M57" s="37"/>
    </row>
    <row r="58" spans="1:107">
      <c r="B58" s="11">
        <f t="shared" si="2"/>
        <v>52</v>
      </c>
      <c r="C58" s="30" t="s">
        <v>565</v>
      </c>
      <c r="D58" s="19">
        <v>101622</v>
      </c>
      <c r="E58" s="50" t="s">
        <v>566</v>
      </c>
      <c r="F58" s="14">
        <v>52.5</v>
      </c>
      <c r="G58" s="15">
        <v>50</v>
      </c>
      <c r="H58" s="16">
        <v>2.5</v>
      </c>
      <c r="I58" s="25"/>
      <c r="J58" s="18">
        <f t="shared" si="3"/>
        <v>52.5</v>
      </c>
      <c r="K58" s="35"/>
      <c r="L58" s="36">
        <f t="shared" si="4"/>
        <v>0</v>
      </c>
      <c r="M58" s="37"/>
    </row>
    <row r="59" spans="1:107" ht="15" customHeight="1">
      <c r="B59" s="11">
        <f t="shared" si="2"/>
        <v>53</v>
      </c>
      <c r="C59" s="19" t="s">
        <v>567</v>
      </c>
      <c r="D59" s="19">
        <v>101623</v>
      </c>
      <c r="E59" s="118" t="s">
        <v>568</v>
      </c>
      <c r="F59" s="14">
        <v>52.5</v>
      </c>
      <c r="G59" s="15">
        <v>50</v>
      </c>
      <c r="H59" s="16">
        <v>2.5</v>
      </c>
      <c r="I59" s="18"/>
      <c r="J59" s="18">
        <f t="shared" si="3"/>
        <v>52.5</v>
      </c>
      <c r="K59" s="32"/>
      <c r="L59" s="33">
        <f t="shared" si="4"/>
        <v>0</v>
      </c>
      <c r="M59" s="37"/>
    </row>
    <row r="60" spans="1:107">
      <c r="B60" s="11">
        <f t="shared" si="2"/>
        <v>54</v>
      </c>
      <c r="C60" s="19" t="s">
        <v>0</v>
      </c>
      <c r="D60" s="19">
        <v>101623</v>
      </c>
      <c r="E60" s="31" t="s">
        <v>569</v>
      </c>
      <c r="F60" s="14">
        <v>52.5</v>
      </c>
      <c r="G60" s="15">
        <v>50</v>
      </c>
      <c r="H60" s="16">
        <v>2.5</v>
      </c>
      <c r="I60" s="160"/>
      <c r="J60" s="18">
        <f t="shared" ref="J60:J62" si="5">SUM(G60+H60+I60)</f>
        <v>52.5</v>
      </c>
      <c r="K60" s="32"/>
      <c r="L60" s="36">
        <f t="shared" si="4"/>
        <v>0</v>
      </c>
      <c r="M60" s="37"/>
    </row>
    <row r="61" spans="1:107">
      <c r="B61" s="11">
        <f t="shared" si="2"/>
        <v>55</v>
      </c>
      <c r="C61" s="19" t="s">
        <v>570</v>
      </c>
      <c r="D61" s="19">
        <v>101691</v>
      </c>
      <c r="E61" s="17" t="s">
        <v>571</v>
      </c>
      <c r="F61" s="14">
        <v>101.5</v>
      </c>
      <c r="G61" s="15">
        <v>50</v>
      </c>
      <c r="H61" s="16">
        <v>5.29</v>
      </c>
      <c r="I61" s="18">
        <v>46.21</v>
      </c>
      <c r="J61" s="18">
        <f t="shared" si="5"/>
        <v>101.5</v>
      </c>
      <c r="K61" s="32"/>
      <c r="L61" s="33">
        <f t="shared" si="4"/>
        <v>0</v>
      </c>
      <c r="M61" s="37"/>
    </row>
    <row r="62" spans="1:107">
      <c r="B62" s="11">
        <f t="shared" si="2"/>
        <v>56</v>
      </c>
      <c r="C62" s="30" t="s">
        <v>572</v>
      </c>
      <c r="D62" s="30">
        <v>101851</v>
      </c>
      <c r="E62" s="50" t="s">
        <v>573</v>
      </c>
      <c r="F62" s="14">
        <v>52.5</v>
      </c>
      <c r="G62" s="15">
        <v>50</v>
      </c>
      <c r="H62" s="16">
        <v>2.5</v>
      </c>
      <c r="I62" s="25"/>
      <c r="J62" s="25">
        <f t="shared" si="5"/>
        <v>52.5</v>
      </c>
      <c r="K62" s="35"/>
      <c r="L62" s="36">
        <f t="shared" si="4"/>
        <v>0</v>
      </c>
      <c r="M62" s="37"/>
    </row>
    <row r="63" spans="1:107">
      <c r="B63" s="11">
        <f t="shared" si="2"/>
        <v>57</v>
      </c>
      <c r="C63" s="19" t="s">
        <v>60</v>
      </c>
      <c r="D63" s="19">
        <v>101744</v>
      </c>
      <c r="E63" s="31" t="s">
        <v>62</v>
      </c>
      <c r="F63" s="14">
        <v>102.48</v>
      </c>
      <c r="G63" s="53">
        <v>50</v>
      </c>
      <c r="H63" s="54">
        <v>4.88</v>
      </c>
      <c r="I63" s="18">
        <v>47.6</v>
      </c>
      <c r="J63" s="18">
        <f>SUM(G63:I63)</f>
        <v>102.48</v>
      </c>
      <c r="K63" s="32"/>
      <c r="L63" s="33">
        <f t="shared" si="4"/>
        <v>0</v>
      </c>
      <c r="M63" s="37"/>
    </row>
    <row r="64" spans="1:107">
      <c r="B64" s="11">
        <f t="shared" si="2"/>
        <v>58</v>
      </c>
      <c r="C64" s="19" t="s">
        <v>574</v>
      </c>
      <c r="D64" s="19">
        <v>101865</v>
      </c>
      <c r="E64" s="31" t="s">
        <v>575</v>
      </c>
      <c r="F64" s="14">
        <v>52.5</v>
      </c>
      <c r="G64" s="53">
        <v>50</v>
      </c>
      <c r="H64" s="54">
        <v>2.5</v>
      </c>
      <c r="I64" s="18"/>
      <c r="J64" s="18">
        <f t="shared" ref="J64:J69" si="6">SUM(G64+H64+I64)</f>
        <v>52.5</v>
      </c>
      <c r="K64" s="32"/>
      <c r="L64" s="33">
        <f t="shared" si="4"/>
        <v>0</v>
      </c>
      <c r="M64" s="37"/>
    </row>
    <row r="65" spans="2:14" ht="15.95" customHeight="1">
      <c r="B65" s="11">
        <f t="shared" si="2"/>
        <v>59</v>
      </c>
      <c r="C65" s="19" t="s">
        <v>576</v>
      </c>
      <c r="D65" s="19">
        <v>101501</v>
      </c>
      <c r="E65" s="118" t="s">
        <v>577</v>
      </c>
      <c r="F65" s="14">
        <v>52.5</v>
      </c>
      <c r="G65" s="15">
        <v>50</v>
      </c>
      <c r="H65" s="16">
        <v>2.5</v>
      </c>
      <c r="I65" s="18"/>
      <c r="J65" s="18">
        <f t="shared" si="6"/>
        <v>52.5</v>
      </c>
      <c r="K65" s="32"/>
      <c r="L65" s="33">
        <f t="shared" si="4"/>
        <v>0</v>
      </c>
      <c r="M65" s="37"/>
    </row>
    <row r="66" spans="2:14">
      <c r="B66" s="11">
        <f t="shared" si="2"/>
        <v>60</v>
      </c>
      <c r="C66" s="19" t="s">
        <v>578</v>
      </c>
      <c r="D66" s="19">
        <v>101574</v>
      </c>
      <c r="E66" s="118" t="s">
        <v>579</v>
      </c>
      <c r="F66" s="14">
        <v>105</v>
      </c>
      <c r="G66" s="20">
        <v>100</v>
      </c>
      <c r="H66" s="21">
        <v>5</v>
      </c>
      <c r="I66" s="43"/>
      <c r="J66" s="18">
        <f t="shared" si="6"/>
        <v>105</v>
      </c>
      <c r="K66" s="32"/>
      <c r="L66" s="33">
        <f t="shared" si="4"/>
        <v>0</v>
      </c>
      <c r="M66" s="37"/>
    </row>
    <row r="67" spans="2:14">
      <c r="B67" s="11">
        <f t="shared" si="2"/>
        <v>61</v>
      </c>
      <c r="C67" s="19" t="s">
        <v>580</v>
      </c>
      <c r="D67" s="19">
        <v>101757</v>
      </c>
      <c r="E67" s="118" t="s">
        <v>581</v>
      </c>
      <c r="F67" s="14">
        <v>53.78</v>
      </c>
      <c r="G67" s="15">
        <v>50</v>
      </c>
      <c r="H67" s="16">
        <v>2.5</v>
      </c>
      <c r="I67" s="18"/>
      <c r="J67" s="18">
        <f t="shared" si="6"/>
        <v>52.5</v>
      </c>
      <c r="K67" s="32">
        <v>1.28</v>
      </c>
      <c r="L67" s="33">
        <f t="shared" si="4"/>
        <v>0</v>
      </c>
      <c r="M67" s="37" t="s">
        <v>504</v>
      </c>
    </row>
    <row r="68" spans="2:14" ht="16.5" customHeight="1">
      <c r="B68" s="11">
        <f t="shared" si="2"/>
        <v>62</v>
      </c>
      <c r="C68" s="19" t="s">
        <v>582</v>
      </c>
      <c r="D68" s="19">
        <v>101885</v>
      </c>
      <c r="E68" s="31" t="s">
        <v>583</v>
      </c>
      <c r="F68" s="14">
        <v>52.5</v>
      </c>
      <c r="G68" s="15">
        <v>50</v>
      </c>
      <c r="H68" s="54">
        <v>2.5</v>
      </c>
      <c r="I68" s="18"/>
      <c r="J68" s="18">
        <f t="shared" si="6"/>
        <v>52.5</v>
      </c>
      <c r="K68" s="32"/>
      <c r="L68" s="33">
        <f t="shared" si="4"/>
        <v>0</v>
      </c>
      <c r="M68" s="37"/>
    </row>
    <row r="69" spans="2:14">
      <c r="B69" s="11">
        <f t="shared" si="2"/>
        <v>63</v>
      </c>
      <c r="C69" s="116" t="s">
        <v>584</v>
      </c>
      <c r="D69" s="19">
        <v>101867</v>
      </c>
      <c r="E69" s="31" t="s">
        <v>585</v>
      </c>
      <c r="F69" s="14">
        <v>52.71</v>
      </c>
      <c r="G69" s="15">
        <v>50</v>
      </c>
      <c r="H69" s="54">
        <v>2.5099999999999998</v>
      </c>
      <c r="I69" s="18">
        <v>0.2</v>
      </c>
      <c r="J69" s="18">
        <f t="shared" si="6"/>
        <v>52.71</v>
      </c>
      <c r="K69" s="32"/>
      <c r="L69" s="33">
        <f t="shared" si="4"/>
        <v>0</v>
      </c>
      <c r="M69" s="37"/>
    </row>
    <row r="70" spans="2:14">
      <c r="B70" s="11">
        <f t="shared" si="2"/>
        <v>64</v>
      </c>
      <c r="C70" s="19" t="s">
        <v>586</v>
      </c>
      <c r="D70" s="19">
        <v>101890</v>
      </c>
      <c r="E70" s="31" t="s">
        <v>587</v>
      </c>
      <c r="F70" s="18">
        <v>52.5</v>
      </c>
      <c r="G70" s="15">
        <v>50</v>
      </c>
      <c r="H70" s="54">
        <v>2.5</v>
      </c>
      <c r="I70" s="18"/>
      <c r="J70" s="18">
        <f>SUM(G70:I70)</f>
        <v>52.5</v>
      </c>
      <c r="K70" s="32"/>
      <c r="L70" s="33">
        <f>+(F70-((SUM(J70+K70))))</f>
        <v>0</v>
      </c>
      <c r="M70" s="37"/>
      <c r="N70" s="59"/>
    </row>
    <row r="71" spans="2:14">
      <c r="B71" s="11">
        <f t="shared" si="2"/>
        <v>65</v>
      </c>
      <c r="C71" s="116" t="s">
        <v>588</v>
      </c>
      <c r="D71" s="19">
        <v>101912</v>
      </c>
      <c r="E71" s="31" t="s">
        <v>589</v>
      </c>
      <c r="F71" s="14">
        <v>52.5</v>
      </c>
      <c r="G71" s="15">
        <v>50</v>
      </c>
      <c r="H71" s="54">
        <v>2.5</v>
      </c>
      <c r="I71" s="18"/>
      <c r="J71" s="18">
        <f>SUM(G71:I71)</f>
        <v>52.5</v>
      </c>
      <c r="K71" s="32"/>
      <c r="L71" s="33">
        <f>+(F71-((SUM(J71+K71))))</f>
        <v>0</v>
      </c>
      <c r="M71" s="37"/>
    </row>
    <row r="72" spans="2:14">
      <c r="B72" s="11">
        <f t="shared" si="2"/>
        <v>66</v>
      </c>
      <c r="C72" s="132" t="s">
        <v>590</v>
      </c>
      <c r="D72" s="19">
        <v>101909</v>
      </c>
      <c r="E72" s="31" t="s">
        <v>591</v>
      </c>
      <c r="F72" s="14">
        <v>52.5</v>
      </c>
      <c r="G72" s="130">
        <v>50</v>
      </c>
      <c r="H72" s="131">
        <v>2.5</v>
      </c>
      <c r="I72" s="18"/>
      <c r="J72" s="18">
        <f>SUM(G72+H72+I72)</f>
        <v>52.5</v>
      </c>
      <c r="K72" s="32"/>
      <c r="L72" s="33">
        <f>+(F72-((SUM(J72+K72))))</f>
        <v>0</v>
      </c>
      <c r="M72" s="37"/>
    </row>
    <row r="73" spans="2:14">
      <c r="B73" s="11">
        <f t="shared" ref="B73:B136" si="7">1+B72</f>
        <v>67</v>
      </c>
      <c r="C73" s="116" t="s">
        <v>592</v>
      </c>
      <c r="D73" s="19">
        <v>101871</v>
      </c>
      <c r="E73" s="31" t="s">
        <v>593</v>
      </c>
      <c r="F73" s="14">
        <v>52.82</v>
      </c>
      <c r="G73" s="15">
        <v>50</v>
      </c>
      <c r="H73" s="54">
        <v>2.52</v>
      </c>
      <c r="I73" s="18">
        <v>0.3</v>
      </c>
      <c r="J73" s="18">
        <f>SUM(G73:I73)</f>
        <v>52.82</v>
      </c>
      <c r="K73" s="32"/>
      <c r="L73" s="33">
        <f>+(F73-((SUM(J73+K73))))</f>
        <v>0</v>
      </c>
      <c r="M73" s="37"/>
    </row>
    <row r="74" spans="2:14">
      <c r="B74" s="11">
        <f t="shared" si="7"/>
        <v>68</v>
      </c>
      <c r="C74" s="19" t="s">
        <v>50</v>
      </c>
      <c r="D74" s="19"/>
      <c r="E74" s="31" t="s">
        <v>594</v>
      </c>
      <c r="F74" s="14">
        <v>52.5</v>
      </c>
      <c r="G74" s="53">
        <v>50</v>
      </c>
      <c r="H74" s="54">
        <v>2.5</v>
      </c>
      <c r="I74" s="25"/>
      <c r="J74" s="18">
        <f t="shared" ref="J74:J79" si="8">SUM(G74:I74)</f>
        <v>52.5</v>
      </c>
      <c r="K74" s="32"/>
      <c r="L74" s="33">
        <f t="shared" si="4"/>
        <v>0</v>
      </c>
      <c r="M74" s="37"/>
    </row>
    <row r="75" spans="2:14">
      <c r="B75" s="11">
        <f t="shared" si="7"/>
        <v>69</v>
      </c>
      <c r="C75" s="19" t="s">
        <v>8</v>
      </c>
      <c r="D75" s="30"/>
      <c r="E75" s="50" t="s">
        <v>10</v>
      </c>
      <c r="F75" s="14">
        <v>52.5</v>
      </c>
      <c r="G75" s="20">
        <v>50</v>
      </c>
      <c r="H75" s="21">
        <v>2.5</v>
      </c>
      <c r="I75" s="18"/>
      <c r="J75" s="18">
        <f t="shared" si="8"/>
        <v>52.5</v>
      </c>
      <c r="K75" s="32"/>
      <c r="L75" s="33">
        <f t="shared" si="4"/>
        <v>0</v>
      </c>
      <c r="M75" s="37"/>
    </row>
    <row r="76" spans="2:14">
      <c r="B76" s="11">
        <f t="shared" si="7"/>
        <v>70</v>
      </c>
      <c r="C76" s="19" t="s">
        <v>595</v>
      </c>
      <c r="D76" s="19"/>
      <c r="E76" s="31" t="s">
        <v>596</v>
      </c>
      <c r="F76" s="14">
        <v>319.10000000000002</v>
      </c>
      <c r="G76" s="15">
        <v>300</v>
      </c>
      <c r="H76" s="54">
        <v>15.2</v>
      </c>
      <c r="I76" s="18">
        <v>3.9</v>
      </c>
      <c r="J76" s="18">
        <f t="shared" si="8"/>
        <v>319.09999999999997</v>
      </c>
      <c r="K76" s="32"/>
      <c r="L76" s="33">
        <f t="shared" ref="L76:L106" si="9">+(F76-((SUM(J76+K76))))</f>
        <v>5.6843418860808015E-14</v>
      </c>
      <c r="M76" s="37"/>
    </row>
    <row r="77" spans="2:14" ht="15.75" customHeight="1">
      <c r="B77" s="11">
        <f t="shared" si="7"/>
        <v>71</v>
      </c>
      <c r="C77" s="19" t="s">
        <v>597</v>
      </c>
      <c r="D77" s="211"/>
      <c r="E77" s="31" t="s">
        <v>598</v>
      </c>
      <c r="F77" s="18">
        <v>105</v>
      </c>
      <c r="G77" s="53">
        <v>100</v>
      </c>
      <c r="H77" s="54">
        <v>5</v>
      </c>
      <c r="I77" s="18"/>
      <c r="J77" s="18">
        <f>SUM(G77:I77)</f>
        <v>105</v>
      </c>
      <c r="K77" s="32"/>
      <c r="L77" s="33">
        <f>+(F77-((SUM(J77+K77))))</f>
        <v>0</v>
      </c>
      <c r="M77" s="37"/>
      <c r="N77" s="40"/>
    </row>
    <row r="78" spans="2:14">
      <c r="B78" s="11">
        <f t="shared" si="7"/>
        <v>72</v>
      </c>
      <c r="C78" s="116" t="s">
        <v>599</v>
      </c>
      <c r="D78" s="19"/>
      <c r="E78" s="31" t="s">
        <v>600</v>
      </c>
      <c r="F78" s="14">
        <v>52.5</v>
      </c>
      <c r="G78" s="15">
        <v>50</v>
      </c>
      <c r="H78" s="54">
        <v>2.5</v>
      </c>
      <c r="I78" s="18"/>
      <c r="J78" s="18">
        <f t="shared" si="8"/>
        <v>52.5</v>
      </c>
      <c r="K78" s="32"/>
      <c r="L78" s="33">
        <f t="shared" si="9"/>
        <v>0</v>
      </c>
      <c r="M78" s="37"/>
    </row>
    <row r="79" spans="2:14">
      <c r="B79" s="11">
        <f t="shared" si="7"/>
        <v>73</v>
      </c>
      <c r="C79" s="19" t="s">
        <v>601</v>
      </c>
      <c r="D79" s="19"/>
      <c r="E79" s="117" t="s">
        <v>602</v>
      </c>
      <c r="F79" s="14">
        <v>52.5</v>
      </c>
      <c r="G79" s="53">
        <v>50</v>
      </c>
      <c r="H79" s="54">
        <v>2.5</v>
      </c>
      <c r="I79" s="18"/>
      <c r="J79" s="18">
        <f t="shared" si="8"/>
        <v>52.5</v>
      </c>
      <c r="K79" s="32"/>
      <c r="L79" s="33">
        <f t="shared" si="9"/>
        <v>0</v>
      </c>
      <c r="M79" s="37"/>
    </row>
    <row r="80" spans="2:14">
      <c r="B80" s="11">
        <f t="shared" si="7"/>
        <v>74</v>
      </c>
      <c r="C80" s="116" t="s">
        <v>603</v>
      </c>
      <c r="D80" s="19">
        <v>101863</v>
      </c>
      <c r="E80" s="31" t="s">
        <v>604</v>
      </c>
      <c r="F80" s="14">
        <v>64.09</v>
      </c>
      <c r="G80" s="15">
        <v>50</v>
      </c>
      <c r="H80" s="54">
        <v>3.05</v>
      </c>
      <c r="I80" s="18">
        <v>11.04</v>
      </c>
      <c r="J80" s="18">
        <f>SUM(G80:I80)</f>
        <v>64.09</v>
      </c>
      <c r="K80" s="32"/>
      <c r="L80" s="33">
        <f t="shared" si="9"/>
        <v>0</v>
      </c>
      <c r="M80" s="37"/>
    </row>
    <row r="81" spans="2:13">
      <c r="B81" s="11">
        <f t="shared" si="7"/>
        <v>75</v>
      </c>
      <c r="C81" s="19" t="s">
        <v>66</v>
      </c>
      <c r="D81" s="19">
        <v>105120</v>
      </c>
      <c r="E81" s="31" t="s">
        <v>605</v>
      </c>
      <c r="F81" s="18">
        <v>52.5</v>
      </c>
      <c r="G81" s="53">
        <v>50</v>
      </c>
      <c r="H81" s="54">
        <v>2.5</v>
      </c>
      <c r="I81" s="18"/>
      <c r="J81" s="18">
        <f>SUM(G81:I81)</f>
        <v>52.5</v>
      </c>
      <c r="K81" s="32"/>
      <c r="L81" s="33">
        <f t="shared" si="9"/>
        <v>0</v>
      </c>
      <c r="M81" s="37"/>
    </row>
    <row r="82" spans="2:13">
      <c r="B82" s="11">
        <f t="shared" si="7"/>
        <v>76</v>
      </c>
      <c r="C82" s="19" t="s">
        <v>606</v>
      </c>
      <c r="D82" s="19"/>
      <c r="E82" s="31" t="s">
        <v>607</v>
      </c>
      <c r="F82" s="14">
        <v>52.5</v>
      </c>
      <c r="G82" s="20">
        <v>50</v>
      </c>
      <c r="H82" s="21">
        <v>2.5</v>
      </c>
      <c r="I82" s="18"/>
      <c r="J82" s="18">
        <f>SUM(G82+H82+I82)</f>
        <v>52.5</v>
      </c>
      <c r="K82" s="32"/>
      <c r="L82" s="33">
        <f t="shared" si="9"/>
        <v>0</v>
      </c>
      <c r="M82" s="37"/>
    </row>
    <row r="83" spans="2:13">
      <c r="B83" s="11">
        <f t="shared" si="7"/>
        <v>77</v>
      </c>
      <c r="C83" s="19" t="s">
        <v>608</v>
      </c>
      <c r="D83" s="19">
        <v>101012</v>
      </c>
      <c r="E83" s="31" t="s">
        <v>167</v>
      </c>
      <c r="F83" s="14">
        <v>52.5</v>
      </c>
      <c r="G83" s="20">
        <v>50</v>
      </c>
      <c r="H83" s="21">
        <v>2.5</v>
      </c>
      <c r="I83" s="18"/>
      <c r="J83" s="18">
        <f>SUM(G83+H83+I83)</f>
        <v>52.5</v>
      </c>
      <c r="K83" s="32"/>
      <c r="L83" s="33">
        <f t="shared" si="9"/>
        <v>0</v>
      </c>
      <c r="M83" s="37"/>
    </row>
    <row r="84" spans="2:13">
      <c r="B84" s="11">
        <f t="shared" si="7"/>
        <v>78</v>
      </c>
      <c r="C84" s="19" t="s">
        <v>609</v>
      </c>
      <c r="D84" s="19">
        <v>101718</v>
      </c>
      <c r="E84" s="31" t="s">
        <v>610</v>
      </c>
      <c r="F84" s="14">
        <v>52.5</v>
      </c>
      <c r="G84" s="15">
        <v>50</v>
      </c>
      <c r="H84" s="16">
        <v>2.5</v>
      </c>
      <c r="I84" s="18"/>
      <c r="J84" s="18">
        <f>SUM(G84+H84+I84)</f>
        <v>52.5</v>
      </c>
      <c r="K84" s="32"/>
      <c r="L84" s="33">
        <f t="shared" si="9"/>
        <v>0</v>
      </c>
      <c r="M84" s="37"/>
    </row>
    <row r="85" spans="2:13" ht="15.75" customHeight="1">
      <c r="B85" s="11">
        <f t="shared" si="7"/>
        <v>79</v>
      </c>
      <c r="C85" s="19" t="s">
        <v>611</v>
      </c>
      <c r="D85" s="19">
        <v>101342</v>
      </c>
      <c r="E85" s="118" t="s">
        <v>612</v>
      </c>
      <c r="F85" s="14">
        <v>105</v>
      </c>
      <c r="G85" s="20">
        <v>100</v>
      </c>
      <c r="H85" s="21">
        <v>5</v>
      </c>
      <c r="I85" s="43"/>
      <c r="J85" s="18">
        <f>SUM(G85:I85)</f>
        <v>105</v>
      </c>
      <c r="K85" s="32"/>
      <c r="L85" s="33">
        <f t="shared" si="9"/>
        <v>0</v>
      </c>
      <c r="M85" s="37"/>
    </row>
    <row r="86" spans="2:13">
      <c r="B86" s="11">
        <f t="shared" si="7"/>
        <v>80</v>
      </c>
      <c r="C86" s="19" t="s">
        <v>410</v>
      </c>
      <c r="D86" s="19">
        <v>101342</v>
      </c>
      <c r="E86" s="118" t="s">
        <v>319</v>
      </c>
      <c r="F86" s="18">
        <v>52.5</v>
      </c>
      <c r="G86" s="20">
        <v>50</v>
      </c>
      <c r="H86" s="16">
        <v>2.5</v>
      </c>
      <c r="I86" s="18"/>
      <c r="J86" s="18">
        <f t="shared" ref="J86:J109" si="10">SUM(G86+H86+I86)</f>
        <v>52.5</v>
      </c>
      <c r="K86" s="32"/>
      <c r="L86" s="33">
        <f t="shared" si="9"/>
        <v>0</v>
      </c>
      <c r="M86" s="37"/>
    </row>
    <row r="87" spans="2:13">
      <c r="B87" s="11">
        <f t="shared" si="7"/>
        <v>81</v>
      </c>
      <c r="C87" s="116" t="s">
        <v>613</v>
      </c>
      <c r="D87" s="19">
        <v>101814</v>
      </c>
      <c r="E87" s="31" t="s">
        <v>614</v>
      </c>
      <c r="F87" s="14">
        <v>56.75</v>
      </c>
      <c r="G87" s="53">
        <v>50</v>
      </c>
      <c r="H87" s="54">
        <v>2.5</v>
      </c>
      <c r="I87" s="18"/>
      <c r="J87" s="18">
        <f t="shared" si="10"/>
        <v>52.5</v>
      </c>
      <c r="K87" s="32">
        <v>4.25</v>
      </c>
      <c r="L87" s="33">
        <f t="shared" si="9"/>
        <v>0</v>
      </c>
      <c r="M87" s="37" t="s">
        <v>504</v>
      </c>
    </row>
    <row r="88" spans="2:13" ht="18.95" customHeight="1">
      <c r="B88" s="11">
        <f t="shared" si="7"/>
        <v>82</v>
      </c>
      <c r="C88" s="19" t="s">
        <v>615</v>
      </c>
      <c r="D88" s="19">
        <v>101820</v>
      </c>
      <c r="E88" s="31" t="s">
        <v>616</v>
      </c>
      <c r="F88" s="14">
        <v>52.5</v>
      </c>
      <c r="G88" s="15">
        <v>50</v>
      </c>
      <c r="H88" s="54">
        <v>2.5</v>
      </c>
      <c r="I88" s="18"/>
      <c r="J88" s="18">
        <f t="shared" si="10"/>
        <v>52.5</v>
      </c>
      <c r="K88" s="32"/>
      <c r="L88" s="33">
        <f t="shared" si="9"/>
        <v>0</v>
      </c>
      <c r="M88" s="37"/>
    </row>
    <row r="89" spans="2:13">
      <c r="B89" s="11">
        <f t="shared" si="7"/>
        <v>83</v>
      </c>
      <c r="C89" s="19" t="s">
        <v>617</v>
      </c>
      <c r="D89" s="19">
        <v>101504</v>
      </c>
      <c r="E89" s="31" t="s">
        <v>618</v>
      </c>
      <c r="F89" s="14">
        <v>105.32</v>
      </c>
      <c r="G89" s="15">
        <v>100</v>
      </c>
      <c r="H89" s="16">
        <v>5.32</v>
      </c>
      <c r="I89" s="18"/>
      <c r="J89" s="18">
        <f>SUM(G89+H89+I89)</f>
        <v>105.32</v>
      </c>
      <c r="K89" s="32"/>
      <c r="L89" s="33">
        <f>+(F89-((SUM(J89+K89))))</f>
        <v>0</v>
      </c>
      <c r="M89" s="37"/>
    </row>
    <row r="90" spans="2:13">
      <c r="B90" s="11">
        <f t="shared" si="7"/>
        <v>84</v>
      </c>
      <c r="C90" s="19" t="s">
        <v>619</v>
      </c>
      <c r="D90" s="19">
        <v>101418</v>
      </c>
      <c r="E90" s="31" t="s">
        <v>620</v>
      </c>
      <c r="F90" s="14">
        <v>127.86</v>
      </c>
      <c r="G90" s="15">
        <v>50</v>
      </c>
      <c r="H90" s="16">
        <v>6.09</v>
      </c>
      <c r="I90" s="18">
        <v>71.77</v>
      </c>
      <c r="J90" s="18">
        <f t="shared" si="10"/>
        <v>127.86</v>
      </c>
      <c r="K90" s="32"/>
      <c r="L90" s="33">
        <f t="shared" si="9"/>
        <v>0</v>
      </c>
      <c r="M90" s="37"/>
    </row>
    <row r="91" spans="2:13">
      <c r="B91" s="11">
        <f t="shared" si="7"/>
        <v>85</v>
      </c>
      <c r="C91" s="19" t="s">
        <v>414</v>
      </c>
      <c r="D91" s="19">
        <v>101701</v>
      </c>
      <c r="E91" s="31" t="s">
        <v>621</v>
      </c>
      <c r="F91" s="14">
        <v>52.5</v>
      </c>
      <c r="G91" s="15">
        <v>50</v>
      </c>
      <c r="H91" s="16">
        <v>2.5</v>
      </c>
      <c r="I91" s="43"/>
      <c r="J91" s="18">
        <f t="shared" si="10"/>
        <v>52.5</v>
      </c>
      <c r="K91" s="32"/>
      <c r="L91" s="33">
        <f t="shared" si="9"/>
        <v>0</v>
      </c>
      <c r="M91" s="37"/>
    </row>
    <row r="92" spans="2:13">
      <c r="B92" s="11">
        <f t="shared" si="7"/>
        <v>86</v>
      </c>
      <c r="C92" s="19" t="s">
        <v>622</v>
      </c>
      <c r="D92" s="19">
        <v>101708</v>
      </c>
      <c r="E92" s="31" t="s">
        <v>623</v>
      </c>
      <c r="F92" s="14">
        <v>214.8</v>
      </c>
      <c r="G92" s="15">
        <v>50</v>
      </c>
      <c r="H92" s="16">
        <v>2.8</v>
      </c>
      <c r="I92" s="18">
        <v>162</v>
      </c>
      <c r="J92" s="18">
        <f t="shared" si="10"/>
        <v>214.8</v>
      </c>
      <c r="K92" s="32"/>
      <c r="L92" s="33">
        <f t="shared" si="9"/>
        <v>0</v>
      </c>
      <c r="M92" s="37"/>
    </row>
    <row r="93" spans="2:13">
      <c r="B93" s="11">
        <f t="shared" si="7"/>
        <v>87</v>
      </c>
      <c r="C93" s="19" t="s">
        <v>624</v>
      </c>
      <c r="D93" s="19">
        <v>101804</v>
      </c>
      <c r="E93" s="31" t="s">
        <v>625</v>
      </c>
      <c r="F93" s="14">
        <v>1412.53</v>
      </c>
      <c r="G93" s="15">
        <v>100</v>
      </c>
      <c r="H93" s="54">
        <v>33.94</v>
      </c>
      <c r="I93" s="18">
        <v>1278.5899999999999</v>
      </c>
      <c r="J93" s="18">
        <f>SUM(G93+H93+I93)</f>
        <v>1412.53</v>
      </c>
      <c r="K93" s="32"/>
      <c r="L93" s="33">
        <f>+(F93-((SUM(J93+K93))))</f>
        <v>0</v>
      </c>
      <c r="M93" s="37"/>
    </row>
    <row r="94" spans="2:13">
      <c r="B94" s="11">
        <f t="shared" si="7"/>
        <v>88</v>
      </c>
      <c r="C94" s="19" t="s">
        <v>626</v>
      </c>
      <c r="D94" s="19">
        <v>101379</v>
      </c>
      <c r="E94" s="31" t="s">
        <v>144</v>
      </c>
      <c r="F94" s="14">
        <v>217.59</v>
      </c>
      <c r="G94" s="20">
        <v>50</v>
      </c>
      <c r="H94" s="16">
        <v>3.7</v>
      </c>
      <c r="I94" s="18">
        <v>6.89</v>
      </c>
      <c r="J94" s="18">
        <f t="shared" si="10"/>
        <v>60.59</v>
      </c>
      <c r="K94" s="32">
        <v>157</v>
      </c>
      <c r="L94" s="33">
        <f t="shared" si="9"/>
        <v>0</v>
      </c>
      <c r="M94" s="37" t="s">
        <v>514</v>
      </c>
    </row>
    <row r="95" spans="2:13">
      <c r="B95" s="11">
        <f t="shared" si="7"/>
        <v>89</v>
      </c>
      <c r="C95" s="116" t="s">
        <v>627</v>
      </c>
      <c r="D95" s="19"/>
      <c r="E95" s="118" t="s">
        <v>628</v>
      </c>
      <c r="F95" s="18">
        <v>52.5</v>
      </c>
      <c r="G95" s="15">
        <v>50</v>
      </c>
      <c r="H95" s="54">
        <v>2.5</v>
      </c>
      <c r="I95" s="18"/>
      <c r="J95" s="18">
        <f t="shared" si="10"/>
        <v>52.5</v>
      </c>
      <c r="K95" s="32"/>
      <c r="L95" s="33">
        <f>+(F95-((SUM(J95+K95))))</f>
        <v>0</v>
      </c>
      <c r="M95" s="37"/>
    </row>
    <row r="96" spans="2:13">
      <c r="B96" s="11">
        <f t="shared" si="7"/>
        <v>90</v>
      </c>
      <c r="C96" s="19" t="s">
        <v>629</v>
      </c>
      <c r="D96" s="19"/>
      <c r="E96" s="118" t="s">
        <v>630</v>
      </c>
      <c r="F96" s="14">
        <v>52.5</v>
      </c>
      <c r="G96" s="15">
        <v>50</v>
      </c>
      <c r="H96" s="16">
        <v>2.5</v>
      </c>
      <c r="I96" s="18"/>
      <c r="J96" s="18">
        <f t="shared" si="10"/>
        <v>52.5</v>
      </c>
      <c r="K96" s="32"/>
      <c r="L96" s="33">
        <f t="shared" si="9"/>
        <v>0</v>
      </c>
      <c r="M96" s="37"/>
    </row>
    <row r="97" spans="2:14">
      <c r="B97" s="11">
        <f t="shared" si="7"/>
        <v>91</v>
      </c>
      <c r="C97" s="132" t="s">
        <v>631</v>
      </c>
      <c r="D97" s="197">
        <v>105115</v>
      </c>
      <c r="E97" s="31" t="s">
        <v>632</v>
      </c>
      <c r="F97" s="14">
        <v>38.5</v>
      </c>
      <c r="G97" s="130">
        <v>36.67</v>
      </c>
      <c r="H97" s="131">
        <v>1.83</v>
      </c>
      <c r="I97" s="18"/>
      <c r="J97" s="18">
        <f t="shared" si="10"/>
        <v>38.5</v>
      </c>
      <c r="K97" s="32"/>
      <c r="L97" s="33">
        <f t="shared" si="9"/>
        <v>0</v>
      </c>
      <c r="M97" s="37"/>
    </row>
    <row r="98" spans="2:14">
      <c r="B98" s="11">
        <f t="shared" si="7"/>
        <v>92</v>
      </c>
      <c r="C98" s="30" t="s">
        <v>633</v>
      </c>
      <c r="D98" s="19">
        <v>101410</v>
      </c>
      <c r="E98" s="84" t="s">
        <v>634</v>
      </c>
      <c r="F98" s="14">
        <v>614.95000000000005</v>
      </c>
      <c r="G98" s="15">
        <v>100</v>
      </c>
      <c r="H98" s="16">
        <v>5.05</v>
      </c>
      <c r="I98" s="18">
        <v>509.9</v>
      </c>
      <c r="J98" s="18">
        <f t="shared" si="10"/>
        <v>614.94999999999993</v>
      </c>
      <c r="K98" s="35"/>
      <c r="L98" s="36">
        <f>+(F98-((SUM(J98+K98))))</f>
        <v>1.1368683772161603E-13</v>
      </c>
      <c r="M98" s="37"/>
    </row>
    <row r="99" spans="2:14">
      <c r="B99" s="11">
        <f t="shared" si="7"/>
        <v>93</v>
      </c>
      <c r="C99" s="19" t="s">
        <v>635</v>
      </c>
      <c r="D99" s="19">
        <v>101458</v>
      </c>
      <c r="E99" s="31" t="s">
        <v>636</v>
      </c>
      <c r="F99" s="14">
        <v>52.5</v>
      </c>
      <c r="G99" s="15">
        <v>50</v>
      </c>
      <c r="H99" s="16">
        <v>2.5</v>
      </c>
      <c r="I99" s="18"/>
      <c r="J99" s="18">
        <f t="shared" si="10"/>
        <v>52.5</v>
      </c>
      <c r="K99" s="32"/>
      <c r="L99" s="33">
        <f t="shared" si="9"/>
        <v>0</v>
      </c>
      <c r="M99" s="37"/>
    </row>
    <row r="100" spans="2:14">
      <c r="B100" s="11">
        <f t="shared" si="7"/>
        <v>94</v>
      </c>
      <c r="C100" s="19" t="s">
        <v>637</v>
      </c>
      <c r="D100" s="19">
        <v>101458</v>
      </c>
      <c r="E100" s="31" t="s">
        <v>638</v>
      </c>
      <c r="F100" s="14">
        <v>52.5</v>
      </c>
      <c r="G100" s="15">
        <v>50</v>
      </c>
      <c r="H100" s="54">
        <v>2.5</v>
      </c>
      <c r="I100" s="18"/>
      <c r="J100" s="18">
        <f t="shared" si="10"/>
        <v>52.5</v>
      </c>
      <c r="K100" s="32"/>
      <c r="L100" s="33">
        <f t="shared" si="9"/>
        <v>0</v>
      </c>
      <c r="M100" s="37"/>
    </row>
    <row r="101" spans="2:14">
      <c r="B101" s="11">
        <f t="shared" si="7"/>
        <v>95</v>
      </c>
      <c r="C101" s="19" t="s">
        <v>639</v>
      </c>
      <c r="D101" s="19">
        <v>101800</v>
      </c>
      <c r="E101" s="31" t="s">
        <v>640</v>
      </c>
      <c r="F101" s="14">
        <v>52.5</v>
      </c>
      <c r="G101" s="20">
        <v>50</v>
      </c>
      <c r="H101" s="21">
        <v>2.5</v>
      </c>
      <c r="I101" s="18"/>
      <c r="J101" s="18">
        <f t="shared" si="10"/>
        <v>52.5</v>
      </c>
      <c r="K101" s="32"/>
      <c r="L101" s="33">
        <f t="shared" si="9"/>
        <v>0</v>
      </c>
      <c r="M101" s="37"/>
      <c r="N101" s="58"/>
    </row>
    <row r="102" spans="2:14">
      <c r="B102" s="11">
        <f t="shared" si="7"/>
        <v>96</v>
      </c>
      <c r="C102" s="19" t="s">
        <v>641</v>
      </c>
      <c r="D102" s="19">
        <v>101606</v>
      </c>
      <c r="E102" s="118" t="s">
        <v>642</v>
      </c>
      <c r="F102" s="14">
        <v>113.13</v>
      </c>
      <c r="G102" s="15">
        <v>50</v>
      </c>
      <c r="H102" s="21">
        <v>2.5299999999999998</v>
      </c>
      <c r="I102" s="18">
        <v>60.6</v>
      </c>
      <c r="J102" s="18">
        <f t="shared" si="10"/>
        <v>113.13</v>
      </c>
      <c r="K102" s="32"/>
      <c r="L102" s="33">
        <f t="shared" si="9"/>
        <v>0</v>
      </c>
      <c r="M102" s="37"/>
      <c r="N102" s="59" t="s">
        <v>525</v>
      </c>
    </row>
    <row r="103" spans="2:14">
      <c r="B103" s="11">
        <f t="shared" si="7"/>
        <v>97</v>
      </c>
      <c r="C103" s="19" t="s">
        <v>643</v>
      </c>
      <c r="D103" s="19">
        <v>101663</v>
      </c>
      <c r="E103" s="118" t="s">
        <v>644</v>
      </c>
      <c r="F103" s="14">
        <v>144.55000000000001</v>
      </c>
      <c r="G103" s="15">
        <v>50</v>
      </c>
      <c r="H103" s="16">
        <v>5.38</v>
      </c>
      <c r="I103" s="18">
        <v>54.83</v>
      </c>
      <c r="J103" s="18">
        <f t="shared" si="10"/>
        <v>110.21000000000001</v>
      </c>
      <c r="K103" s="32">
        <v>34.340000000000003</v>
      </c>
      <c r="L103" s="33">
        <f t="shared" si="9"/>
        <v>0</v>
      </c>
      <c r="M103" s="37" t="s">
        <v>504</v>
      </c>
      <c r="N103" s="60" t="s">
        <v>79</v>
      </c>
    </row>
    <row r="104" spans="2:14">
      <c r="B104" s="11">
        <f t="shared" si="7"/>
        <v>98</v>
      </c>
      <c r="C104" s="19" t="s">
        <v>645</v>
      </c>
      <c r="D104" s="19">
        <v>101716</v>
      </c>
      <c r="E104" s="31" t="s">
        <v>646</v>
      </c>
      <c r="F104" s="14">
        <v>105</v>
      </c>
      <c r="G104" s="15">
        <v>100</v>
      </c>
      <c r="H104" s="16">
        <v>5</v>
      </c>
      <c r="I104" s="160"/>
      <c r="J104" s="18">
        <f t="shared" si="10"/>
        <v>105</v>
      </c>
      <c r="K104" s="32"/>
      <c r="L104" s="36">
        <f t="shared" si="9"/>
        <v>0</v>
      </c>
      <c r="M104" s="37"/>
      <c r="N104" s="40"/>
    </row>
    <row r="105" spans="2:14">
      <c r="B105" s="11">
        <f t="shared" si="7"/>
        <v>99</v>
      </c>
      <c r="C105" s="19" t="s">
        <v>647</v>
      </c>
      <c r="D105" s="19">
        <v>101815</v>
      </c>
      <c r="E105" s="118" t="s">
        <v>648</v>
      </c>
      <c r="F105" s="14">
        <v>52.5</v>
      </c>
      <c r="G105" s="20">
        <v>50</v>
      </c>
      <c r="H105" s="21">
        <v>2.5</v>
      </c>
      <c r="I105" s="18"/>
      <c r="J105" s="18">
        <f t="shared" si="10"/>
        <v>52.5</v>
      </c>
      <c r="K105" s="32"/>
      <c r="L105" s="33">
        <f t="shared" si="9"/>
        <v>0</v>
      </c>
      <c r="M105" s="37"/>
      <c r="N105" s="40"/>
    </row>
    <row r="106" spans="2:14">
      <c r="B106" s="11">
        <f t="shared" si="7"/>
        <v>100</v>
      </c>
      <c r="C106" s="19" t="s">
        <v>649</v>
      </c>
      <c r="D106" s="19">
        <v>101803</v>
      </c>
      <c r="E106" s="31" t="s">
        <v>650</v>
      </c>
      <c r="F106" s="14">
        <v>173.61</v>
      </c>
      <c r="G106" s="15">
        <v>50</v>
      </c>
      <c r="H106" s="54">
        <v>5.4</v>
      </c>
      <c r="I106" s="18">
        <v>62.21</v>
      </c>
      <c r="J106" s="18">
        <f t="shared" si="10"/>
        <v>117.61</v>
      </c>
      <c r="K106" s="32">
        <v>56</v>
      </c>
      <c r="L106" s="33">
        <f t="shared" si="9"/>
        <v>0</v>
      </c>
      <c r="M106" s="37" t="s">
        <v>514</v>
      </c>
      <c r="N106" s="40"/>
    </row>
    <row r="107" spans="2:14">
      <c r="B107" s="11">
        <f t="shared" si="7"/>
        <v>101</v>
      </c>
      <c r="C107" s="19" t="s">
        <v>651</v>
      </c>
      <c r="D107" s="19">
        <v>101793</v>
      </c>
      <c r="E107" s="118" t="s">
        <v>652</v>
      </c>
      <c r="F107" s="14">
        <v>181.99</v>
      </c>
      <c r="G107" s="15">
        <v>50</v>
      </c>
      <c r="H107" s="16">
        <v>6.67</v>
      </c>
      <c r="I107" s="18">
        <v>125.32</v>
      </c>
      <c r="J107" s="18">
        <f t="shared" si="10"/>
        <v>181.99</v>
      </c>
      <c r="K107" s="32"/>
      <c r="L107" s="33">
        <f t="shared" ref="L107:L137" si="11">+(F107-((SUM(J107+K107))))</f>
        <v>0</v>
      </c>
      <c r="M107" s="37"/>
      <c r="N107" s="40"/>
    </row>
    <row r="108" spans="2:14">
      <c r="B108" s="11">
        <f t="shared" si="7"/>
        <v>102</v>
      </c>
      <c r="C108" s="19" t="s">
        <v>653</v>
      </c>
      <c r="D108" s="19">
        <v>101728</v>
      </c>
      <c r="E108" s="118" t="s">
        <v>654</v>
      </c>
      <c r="F108" s="14">
        <v>52.5</v>
      </c>
      <c r="G108" s="20">
        <v>50</v>
      </c>
      <c r="H108" s="21">
        <v>2.5</v>
      </c>
      <c r="I108" s="18"/>
      <c r="J108" s="18">
        <f t="shared" si="10"/>
        <v>52.5</v>
      </c>
      <c r="K108" s="32"/>
      <c r="L108" s="33">
        <f t="shared" si="11"/>
        <v>0</v>
      </c>
      <c r="M108" s="37"/>
      <c r="N108" s="195"/>
    </row>
    <row r="109" spans="2:14">
      <c r="B109" s="11">
        <f t="shared" si="7"/>
        <v>103</v>
      </c>
      <c r="C109" s="19" t="s">
        <v>655</v>
      </c>
      <c r="D109" s="19">
        <v>101055</v>
      </c>
      <c r="E109" s="31" t="s">
        <v>656</v>
      </c>
      <c r="F109" s="14">
        <v>56.75</v>
      </c>
      <c r="G109" s="53">
        <v>50</v>
      </c>
      <c r="H109" s="54">
        <v>2.5</v>
      </c>
      <c r="I109" s="18">
        <v>4.25</v>
      </c>
      <c r="J109" s="18">
        <f t="shared" si="10"/>
        <v>56.75</v>
      </c>
      <c r="K109" s="32"/>
      <c r="L109" s="33">
        <f t="shared" si="11"/>
        <v>0</v>
      </c>
      <c r="M109" s="37"/>
      <c r="N109" s="194"/>
    </row>
    <row r="110" spans="2:14">
      <c r="B110" s="11">
        <f t="shared" si="7"/>
        <v>104</v>
      </c>
      <c r="C110" s="19" t="s">
        <v>657</v>
      </c>
      <c r="D110" s="19"/>
      <c r="E110" s="31" t="s">
        <v>658</v>
      </c>
      <c r="F110" s="14">
        <v>105</v>
      </c>
      <c r="G110" s="53">
        <v>100</v>
      </c>
      <c r="H110" s="54">
        <v>5</v>
      </c>
      <c r="I110" s="18"/>
      <c r="J110" s="18">
        <f>SUM(G110:I110)</f>
        <v>105</v>
      </c>
      <c r="K110" s="32"/>
      <c r="L110" s="33">
        <f t="shared" si="11"/>
        <v>0</v>
      </c>
      <c r="M110" s="37"/>
      <c r="N110" s="6" t="s">
        <v>539</v>
      </c>
    </row>
    <row r="111" spans="2:14">
      <c r="B111" s="11">
        <f t="shared" si="7"/>
        <v>105</v>
      </c>
      <c r="C111" s="30" t="s">
        <v>659</v>
      </c>
      <c r="D111" s="19">
        <v>101600</v>
      </c>
      <c r="E111" s="50" t="s">
        <v>660</v>
      </c>
      <c r="F111" s="14">
        <v>579.53</v>
      </c>
      <c r="G111" s="15">
        <v>100</v>
      </c>
      <c r="H111" s="16">
        <v>5.13</v>
      </c>
      <c r="I111" s="25">
        <v>474.4</v>
      </c>
      <c r="J111" s="25">
        <f t="shared" ref="J111:J153" si="12">SUM(G111+H111+I111)</f>
        <v>579.53</v>
      </c>
      <c r="K111" s="35"/>
      <c r="L111" s="36">
        <f t="shared" si="11"/>
        <v>0</v>
      </c>
      <c r="M111" s="37"/>
      <c r="N111" s="6" t="s">
        <v>661</v>
      </c>
    </row>
    <row r="112" spans="2:14">
      <c r="B112" s="11">
        <f t="shared" si="7"/>
        <v>106</v>
      </c>
      <c r="C112" s="19" t="s">
        <v>662</v>
      </c>
      <c r="D112" s="19">
        <v>101809</v>
      </c>
      <c r="E112" s="118" t="s">
        <v>663</v>
      </c>
      <c r="F112" s="14">
        <v>572.74</v>
      </c>
      <c r="G112" s="15">
        <v>200</v>
      </c>
      <c r="H112" s="16">
        <v>10.11</v>
      </c>
      <c r="I112" s="18">
        <v>362.63</v>
      </c>
      <c r="J112" s="18">
        <f t="shared" si="12"/>
        <v>572.74</v>
      </c>
      <c r="K112" s="32"/>
      <c r="L112" s="33">
        <f t="shared" si="11"/>
        <v>0</v>
      </c>
      <c r="M112" s="37"/>
      <c r="N112" s="40"/>
    </row>
    <row r="113" spans="1:107">
      <c r="B113" s="11">
        <f t="shared" si="7"/>
        <v>107</v>
      </c>
      <c r="C113" s="30" t="s">
        <v>664</v>
      </c>
      <c r="D113" s="19">
        <v>101721</v>
      </c>
      <c r="E113" s="84" t="s">
        <v>665</v>
      </c>
      <c r="F113" s="14">
        <v>105</v>
      </c>
      <c r="G113" s="15">
        <v>100</v>
      </c>
      <c r="H113" s="16">
        <v>5</v>
      </c>
      <c r="I113" s="25"/>
      <c r="J113" s="25">
        <f>SUM(G113+H113+I113)</f>
        <v>105</v>
      </c>
      <c r="K113" s="32"/>
      <c r="L113" s="33">
        <f>+(F113-((SUM(J113+K113))))</f>
        <v>0</v>
      </c>
      <c r="M113" s="37"/>
    </row>
    <row r="114" spans="1:107">
      <c r="B114" s="11">
        <f t="shared" si="7"/>
        <v>108</v>
      </c>
      <c r="C114" s="19" t="s">
        <v>666</v>
      </c>
      <c r="D114" s="19">
        <v>101189</v>
      </c>
      <c r="E114" s="31" t="s">
        <v>89</v>
      </c>
      <c r="F114" s="14">
        <v>52.84</v>
      </c>
      <c r="G114" s="15">
        <v>50</v>
      </c>
      <c r="H114" s="16">
        <v>2.52</v>
      </c>
      <c r="I114" s="18">
        <v>0.32</v>
      </c>
      <c r="J114" s="18">
        <f t="shared" si="12"/>
        <v>52.84</v>
      </c>
      <c r="K114" s="32"/>
      <c r="L114" s="33">
        <f t="shared" si="11"/>
        <v>0</v>
      </c>
      <c r="M114" s="37"/>
      <c r="N114" s="40"/>
    </row>
    <row r="115" spans="1:107">
      <c r="B115" s="11">
        <f t="shared" si="7"/>
        <v>109</v>
      </c>
      <c r="C115" s="30" t="s">
        <v>667</v>
      </c>
      <c r="D115" s="212">
        <v>101571</v>
      </c>
      <c r="E115" s="84" t="s">
        <v>668</v>
      </c>
      <c r="F115" s="14">
        <v>752.5</v>
      </c>
      <c r="G115" s="26">
        <v>50</v>
      </c>
      <c r="H115" s="27">
        <v>2.5</v>
      </c>
      <c r="I115" s="25">
        <v>700</v>
      </c>
      <c r="J115" s="25">
        <f t="shared" si="12"/>
        <v>752.5</v>
      </c>
      <c r="K115" s="35"/>
      <c r="L115" s="36">
        <f t="shared" si="11"/>
        <v>0</v>
      </c>
      <c r="M115" s="37"/>
      <c r="N115" s="40"/>
    </row>
    <row r="116" spans="1:107" s="2" customFormat="1">
      <c r="A116" s="6"/>
      <c r="B116" s="11">
        <f t="shared" si="7"/>
        <v>110</v>
      </c>
      <c r="C116" s="19" t="s">
        <v>669</v>
      </c>
      <c r="D116" s="19">
        <v>101662</v>
      </c>
      <c r="E116" s="118" t="s">
        <v>262</v>
      </c>
      <c r="F116" s="14">
        <v>52.5</v>
      </c>
      <c r="G116" s="15">
        <v>50</v>
      </c>
      <c r="H116" s="16">
        <v>2.5</v>
      </c>
      <c r="I116" s="18"/>
      <c r="J116" s="18">
        <f t="shared" si="12"/>
        <v>52.5</v>
      </c>
      <c r="K116" s="32"/>
      <c r="L116" s="33">
        <f t="shared" si="11"/>
        <v>0</v>
      </c>
      <c r="M116" s="37"/>
      <c r="N116" s="40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</row>
    <row r="117" spans="1:107">
      <c r="B117" s="11">
        <f t="shared" si="7"/>
        <v>111</v>
      </c>
      <c r="C117" s="30" t="s">
        <v>670</v>
      </c>
      <c r="D117" s="19">
        <v>101515</v>
      </c>
      <c r="E117" s="84" t="s">
        <v>671</v>
      </c>
      <c r="F117" s="14">
        <v>234.16</v>
      </c>
      <c r="G117" s="26">
        <v>100</v>
      </c>
      <c r="H117" s="27">
        <v>5.15</v>
      </c>
      <c r="I117" s="43">
        <v>123.01</v>
      </c>
      <c r="J117" s="18">
        <f t="shared" si="12"/>
        <v>228.16000000000003</v>
      </c>
      <c r="K117" s="35">
        <v>6</v>
      </c>
      <c r="L117" s="36">
        <f t="shared" si="11"/>
        <v>-2.8421709430404007E-14</v>
      </c>
      <c r="M117" s="37" t="s">
        <v>504</v>
      </c>
      <c r="N117" s="195"/>
    </row>
    <row r="118" spans="1:107">
      <c r="B118" s="11">
        <f t="shared" si="7"/>
        <v>112</v>
      </c>
      <c r="C118" s="19" t="s">
        <v>672</v>
      </c>
      <c r="D118" s="19">
        <v>101483</v>
      </c>
      <c r="E118" s="31" t="s">
        <v>140</v>
      </c>
      <c r="F118" s="14">
        <v>1020.15</v>
      </c>
      <c r="G118" s="20">
        <v>800</v>
      </c>
      <c r="H118" s="21">
        <v>40.15</v>
      </c>
      <c r="I118" s="18">
        <v>163</v>
      </c>
      <c r="J118" s="18">
        <f t="shared" si="12"/>
        <v>1003.15</v>
      </c>
      <c r="K118" s="32">
        <v>17</v>
      </c>
      <c r="L118" s="33">
        <f t="shared" si="11"/>
        <v>0</v>
      </c>
      <c r="M118" s="37" t="s">
        <v>504</v>
      </c>
      <c r="N118" s="194"/>
    </row>
    <row r="119" spans="1:107">
      <c r="B119" s="11">
        <f t="shared" si="7"/>
        <v>113</v>
      </c>
      <c r="C119" s="19" t="s">
        <v>673</v>
      </c>
      <c r="D119" s="19">
        <v>101607</v>
      </c>
      <c r="E119" s="118" t="s">
        <v>674</v>
      </c>
      <c r="F119" s="14">
        <v>168.18</v>
      </c>
      <c r="G119" s="15">
        <v>110</v>
      </c>
      <c r="H119" s="16">
        <v>8.02</v>
      </c>
      <c r="I119" s="18">
        <v>50.16</v>
      </c>
      <c r="J119" s="18">
        <f t="shared" si="12"/>
        <v>168.18</v>
      </c>
      <c r="K119" s="32"/>
      <c r="L119" s="33">
        <f t="shared" si="11"/>
        <v>0</v>
      </c>
      <c r="M119" s="37"/>
      <c r="N119" s="6" t="s">
        <v>557</v>
      </c>
    </row>
    <row r="120" spans="1:107">
      <c r="B120" s="11">
        <f t="shared" si="7"/>
        <v>114</v>
      </c>
      <c r="C120" s="19" t="s">
        <v>675</v>
      </c>
      <c r="D120" s="19">
        <v>101516</v>
      </c>
      <c r="E120" s="31" t="s">
        <v>676</v>
      </c>
      <c r="F120" s="14">
        <v>228.14</v>
      </c>
      <c r="G120" s="20">
        <v>200</v>
      </c>
      <c r="H120" s="21">
        <v>10.86</v>
      </c>
      <c r="I120" s="43">
        <v>17.28</v>
      </c>
      <c r="J120" s="18">
        <f t="shared" si="12"/>
        <v>228.14000000000001</v>
      </c>
      <c r="K120" s="32"/>
      <c r="L120" s="33">
        <f t="shared" si="11"/>
        <v>-2.8421709430404007E-14</v>
      </c>
      <c r="M120" s="37"/>
      <c r="N120" s="6" t="s">
        <v>559</v>
      </c>
    </row>
    <row r="121" spans="1:107">
      <c r="B121" s="11">
        <f t="shared" si="7"/>
        <v>115</v>
      </c>
      <c r="C121" s="19" t="s">
        <v>677</v>
      </c>
      <c r="D121" s="19">
        <v>101634</v>
      </c>
      <c r="E121" s="118" t="s">
        <v>678</v>
      </c>
      <c r="F121" s="14">
        <v>614.25</v>
      </c>
      <c r="G121" s="15">
        <v>200</v>
      </c>
      <c r="H121" s="16">
        <v>10</v>
      </c>
      <c r="I121" s="18">
        <v>404.25</v>
      </c>
      <c r="J121" s="18">
        <f t="shared" si="12"/>
        <v>614.25</v>
      </c>
      <c r="K121" s="32"/>
      <c r="L121" s="33">
        <f t="shared" si="11"/>
        <v>0</v>
      </c>
      <c r="M121" s="37"/>
    </row>
    <row r="122" spans="1:107" ht="16.899999999999999" customHeight="1">
      <c r="B122" s="11">
        <f t="shared" si="7"/>
        <v>116</v>
      </c>
      <c r="C122" s="19" t="s">
        <v>679</v>
      </c>
      <c r="D122" s="19">
        <v>101067</v>
      </c>
      <c r="E122" s="118" t="s">
        <v>77</v>
      </c>
      <c r="F122" s="14">
        <v>105</v>
      </c>
      <c r="G122" s="15">
        <v>100</v>
      </c>
      <c r="H122" s="16">
        <v>5</v>
      </c>
      <c r="I122" s="18"/>
      <c r="J122" s="18">
        <f t="shared" si="12"/>
        <v>105</v>
      </c>
      <c r="K122" s="32"/>
      <c r="L122" s="33">
        <f t="shared" si="11"/>
        <v>0</v>
      </c>
      <c r="M122" s="37"/>
    </row>
    <row r="123" spans="1:107" s="2" customFormat="1">
      <c r="A123" s="6"/>
      <c r="B123" s="11">
        <f t="shared" si="7"/>
        <v>117</v>
      </c>
      <c r="C123" s="19" t="s">
        <v>680</v>
      </c>
      <c r="D123" s="19">
        <v>101565</v>
      </c>
      <c r="E123" s="31" t="s">
        <v>681</v>
      </c>
      <c r="F123" s="14">
        <v>210</v>
      </c>
      <c r="G123" s="20">
        <v>200</v>
      </c>
      <c r="H123" s="21">
        <v>10</v>
      </c>
      <c r="I123" s="18"/>
      <c r="J123" s="18">
        <f t="shared" si="12"/>
        <v>210</v>
      </c>
      <c r="K123" s="32"/>
      <c r="L123" s="33">
        <f t="shared" si="11"/>
        <v>0</v>
      </c>
      <c r="M123" s="37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</row>
    <row r="124" spans="1:107" ht="15.95" customHeight="1">
      <c r="B124" s="11">
        <f t="shared" si="7"/>
        <v>118</v>
      </c>
      <c r="C124" s="30" t="s">
        <v>682</v>
      </c>
      <c r="D124" s="19">
        <v>101886</v>
      </c>
      <c r="E124" s="50" t="s">
        <v>683</v>
      </c>
      <c r="F124" s="14">
        <v>213.79</v>
      </c>
      <c r="G124" s="15">
        <v>100</v>
      </c>
      <c r="H124" s="16">
        <v>5.19</v>
      </c>
      <c r="I124" s="25">
        <v>106.6</v>
      </c>
      <c r="J124" s="25">
        <f t="shared" si="12"/>
        <v>211.79</v>
      </c>
      <c r="K124" s="35">
        <v>2</v>
      </c>
      <c r="L124" s="33">
        <f t="shared" si="11"/>
        <v>0</v>
      </c>
      <c r="M124" s="37" t="s">
        <v>504</v>
      </c>
    </row>
    <row r="125" spans="1:107">
      <c r="B125" s="11">
        <f t="shared" si="7"/>
        <v>119</v>
      </c>
      <c r="C125" s="19" t="s">
        <v>684</v>
      </c>
      <c r="D125" s="19">
        <v>101066</v>
      </c>
      <c r="E125" s="118" t="s">
        <v>84</v>
      </c>
      <c r="F125" s="14">
        <v>114.12</v>
      </c>
      <c r="G125" s="51">
        <v>100</v>
      </c>
      <c r="H125" s="52">
        <v>5.15</v>
      </c>
      <c r="I125" s="18">
        <v>8.9700000000000006</v>
      </c>
      <c r="J125" s="18">
        <f t="shared" si="12"/>
        <v>114.12</v>
      </c>
      <c r="K125" s="32"/>
      <c r="L125" s="33">
        <f t="shared" si="11"/>
        <v>0</v>
      </c>
      <c r="M125" s="37"/>
    </row>
    <row r="126" spans="1:107">
      <c r="B126" s="11">
        <f t="shared" si="7"/>
        <v>120</v>
      </c>
      <c r="C126" s="19" t="s">
        <v>685</v>
      </c>
      <c r="D126" s="19">
        <v>101684</v>
      </c>
      <c r="E126" s="118" t="s">
        <v>346</v>
      </c>
      <c r="F126" s="14">
        <v>52.5</v>
      </c>
      <c r="G126" s="15">
        <v>50</v>
      </c>
      <c r="H126" s="16">
        <v>2.5</v>
      </c>
      <c r="I126" s="18"/>
      <c r="J126" s="18">
        <f t="shared" si="12"/>
        <v>52.5</v>
      </c>
      <c r="K126" s="32"/>
      <c r="L126" s="33">
        <f t="shared" si="11"/>
        <v>0</v>
      </c>
      <c r="M126" s="37"/>
    </row>
    <row r="127" spans="1:107">
      <c r="B127" s="11">
        <f t="shared" si="7"/>
        <v>121</v>
      </c>
      <c r="C127" s="19" t="s">
        <v>63</v>
      </c>
      <c r="D127" s="19">
        <v>101825</v>
      </c>
      <c r="E127" s="31" t="s">
        <v>686</v>
      </c>
      <c r="F127" s="14">
        <v>171.09</v>
      </c>
      <c r="G127" s="53">
        <v>100</v>
      </c>
      <c r="H127" s="54">
        <v>7.1</v>
      </c>
      <c r="I127" s="18"/>
      <c r="J127" s="18">
        <f t="shared" si="12"/>
        <v>107.1</v>
      </c>
      <c r="K127" s="32">
        <v>63.99</v>
      </c>
      <c r="L127" s="33">
        <f t="shared" si="11"/>
        <v>0</v>
      </c>
      <c r="M127" s="37" t="s">
        <v>504</v>
      </c>
    </row>
    <row r="128" spans="1:107">
      <c r="B128" s="11">
        <f t="shared" si="7"/>
        <v>122</v>
      </c>
      <c r="C128" s="19" t="s">
        <v>5</v>
      </c>
      <c r="D128" s="19">
        <v>101738</v>
      </c>
      <c r="E128" s="50" t="s">
        <v>687</v>
      </c>
      <c r="F128" s="14">
        <v>105</v>
      </c>
      <c r="G128" s="20">
        <v>100</v>
      </c>
      <c r="H128" s="21">
        <v>5</v>
      </c>
      <c r="I128" s="18"/>
      <c r="J128" s="18">
        <f t="shared" si="12"/>
        <v>105</v>
      </c>
      <c r="K128" s="32"/>
      <c r="L128" s="33">
        <f t="shared" si="11"/>
        <v>0</v>
      </c>
      <c r="M128" s="37"/>
    </row>
    <row r="129" spans="1:15">
      <c r="B129" s="11">
        <f t="shared" si="7"/>
        <v>123</v>
      </c>
      <c r="C129" s="19" t="s">
        <v>688</v>
      </c>
      <c r="D129" s="19">
        <v>101808</v>
      </c>
      <c r="E129" s="31" t="s">
        <v>689</v>
      </c>
      <c r="F129" s="14">
        <v>105</v>
      </c>
      <c r="G129" s="15">
        <v>100</v>
      </c>
      <c r="H129" s="54">
        <v>5</v>
      </c>
      <c r="I129" s="18"/>
      <c r="J129" s="18">
        <f t="shared" si="12"/>
        <v>105</v>
      </c>
      <c r="K129" s="32"/>
      <c r="L129" s="33">
        <f t="shared" si="11"/>
        <v>0</v>
      </c>
      <c r="M129" s="37"/>
    </row>
    <row r="130" spans="1:15">
      <c r="B130" s="11">
        <f t="shared" si="7"/>
        <v>124</v>
      </c>
      <c r="C130" s="19" t="s">
        <v>690</v>
      </c>
      <c r="D130" s="19">
        <v>101756</v>
      </c>
      <c r="E130" s="31" t="s">
        <v>691</v>
      </c>
      <c r="F130" s="14">
        <v>530.75</v>
      </c>
      <c r="G130" s="53">
        <v>235</v>
      </c>
      <c r="H130" s="54">
        <v>11.92</v>
      </c>
      <c r="I130" s="18">
        <v>283.83</v>
      </c>
      <c r="J130" s="18">
        <f t="shared" si="12"/>
        <v>530.75</v>
      </c>
      <c r="K130" s="32"/>
      <c r="L130" s="33">
        <f t="shared" si="11"/>
        <v>0</v>
      </c>
      <c r="M130" s="37"/>
    </row>
    <row r="131" spans="1:15">
      <c r="B131" s="11">
        <f t="shared" si="7"/>
        <v>125</v>
      </c>
      <c r="C131" s="19" t="s">
        <v>51</v>
      </c>
      <c r="D131" s="19">
        <v>101736</v>
      </c>
      <c r="E131" s="31" t="s">
        <v>692</v>
      </c>
      <c r="F131" s="14">
        <v>61</v>
      </c>
      <c r="G131" s="53">
        <v>50</v>
      </c>
      <c r="H131" s="54">
        <v>2.5</v>
      </c>
      <c r="I131" s="18">
        <v>8.5</v>
      </c>
      <c r="J131" s="18">
        <f t="shared" si="12"/>
        <v>61</v>
      </c>
      <c r="K131" s="32"/>
      <c r="L131" s="33">
        <f t="shared" si="11"/>
        <v>0</v>
      </c>
      <c r="M131" s="37"/>
      <c r="O131" s="60"/>
    </row>
    <row r="132" spans="1:15" ht="15.75" customHeight="1">
      <c r="B132" s="11">
        <f t="shared" si="7"/>
        <v>126</v>
      </c>
      <c r="C132" s="19" t="s">
        <v>693</v>
      </c>
      <c r="D132" s="19">
        <v>101791</v>
      </c>
      <c r="E132" s="118" t="s">
        <v>694</v>
      </c>
      <c r="F132" s="14">
        <v>52.5</v>
      </c>
      <c r="G132" s="15">
        <v>50</v>
      </c>
      <c r="H132" s="16">
        <v>2.5</v>
      </c>
      <c r="I132" s="18"/>
      <c r="J132" s="18">
        <f t="shared" si="12"/>
        <v>52.5</v>
      </c>
      <c r="K132" s="32"/>
      <c r="L132" s="33">
        <f t="shared" si="11"/>
        <v>0</v>
      </c>
      <c r="M132" s="37"/>
      <c r="N132" s="40"/>
    </row>
    <row r="133" spans="1:15">
      <c r="B133" s="11">
        <f t="shared" si="7"/>
        <v>127</v>
      </c>
      <c r="C133" s="19" t="s">
        <v>41</v>
      </c>
      <c r="D133" s="19">
        <v>101741</v>
      </c>
      <c r="E133" s="31" t="s">
        <v>695</v>
      </c>
      <c r="F133" s="14">
        <v>241.42</v>
      </c>
      <c r="G133" s="53">
        <v>100</v>
      </c>
      <c r="H133" s="54">
        <v>11.5</v>
      </c>
      <c r="I133" s="72">
        <v>129.91999999999999</v>
      </c>
      <c r="J133" s="18">
        <f t="shared" si="12"/>
        <v>241.42</v>
      </c>
      <c r="K133" s="32"/>
      <c r="L133" s="33">
        <f t="shared" si="11"/>
        <v>0</v>
      </c>
      <c r="M133" s="37"/>
      <c r="N133" s="40"/>
    </row>
    <row r="134" spans="1:15">
      <c r="B134" s="11">
        <f t="shared" si="7"/>
        <v>128</v>
      </c>
      <c r="C134" s="19" t="s">
        <v>696</v>
      </c>
      <c r="D134" s="19">
        <v>101705</v>
      </c>
      <c r="E134" s="31" t="s">
        <v>697</v>
      </c>
      <c r="F134" s="14">
        <v>210</v>
      </c>
      <c r="G134" s="15">
        <v>200</v>
      </c>
      <c r="H134" s="54">
        <v>10</v>
      </c>
      <c r="I134" s="18"/>
      <c r="J134" s="18">
        <f t="shared" si="12"/>
        <v>210</v>
      </c>
      <c r="K134" s="32"/>
      <c r="L134" s="33">
        <f t="shared" si="11"/>
        <v>0</v>
      </c>
      <c r="M134" s="37"/>
      <c r="N134" s="40"/>
    </row>
    <row r="135" spans="1:15" ht="18.75" customHeight="1">
      <c r="B135" s="11">
        <f t="shared" si="7"/>
        <v>129</v>
      </c>
      <c r="C135" s="116" t="s">
        <v>698</v>
      </c>
      <c r="D135" s="19">
        <v>105069</v>
      </c>
      <c r="E135" s="31" t="s">
        <v>699</v>
      </c>
      <c r="F135" s="14">
        <v>105</v>
      </c>
      <c r="G135" s="15">
        <v>100</v>
      </c>
      <c r="H135" s="54">
        <v>5</v>
      </c>
      <c r="I135" s="18"/>
      <c r="J135" s="18">
        <f t="shared" si="12"/>
        <v>105</v>
      </c>
      <c r="K135" s="32"/>
      <c r="L135" s="33">
        <f t="shared" si="11"/>
        <v>0</v>
      </c>
      <c r="M135" s="37"/>
    </row>
    <row r="136" spans="1:15">
      <c r="B136" s="11">
        <f t="shared" si="7"/>
        <v>130</v>
      </c>
      <c r="C136" s="116" t="s">
        <v>700</v>
      </c>
      <c r="D136" s="19">
        <v>105104</v>
      </c>
      <c r="E136" s="31" t="s">
        <v>701</v>
      </c>
      <c r="F136" s="14">
        <v>181.65</v>
      </c>
      <c r="G136" s="15">
        <v>75</v>
      </c>
      <c r="H136" s="54">
        <v>8.65</v>
      </c>
      <c r="I136" s="18">
        <v>98</v>
      </c>
      <c r="J136" s="18">
        <f t="shared" si="12"/>
        <v>181.65</v>
      </c>
      <c r="K136" s="32"/>
      <c r="L136" s="33">
        <f t="shared" si="11"/>
        <v>0</v>
      </c>
      <c r="M136" s="37"/>
    </row>
    <row r="137" spans="1:15">
      <c r="B137" s="11">
        <f t="shared" ref="B137:B191" si="13">1+B136</f>
        <v>131</v>
      </c>
      <c r="C137" s="132" t="s">
        <v>702</v>
      </c>
      <c r="D137" s="197">
        <v>105145</v>
      </c>
      <c r="E137" s="31" t="s">
        <v>703</v>
      </c>
      <c r="F137" s="14">
        <v>38.5</v>
      </c>
      <c r="G137" s="130">
        <v>36.67</v>
      </c>
      <c r="H137" s="131">
        <v>1.83</v>
      </c>
      <c r="I137" s="18"/>
      <c r="J137" s="18">
        <f t="shared" si="12"/>
        <v>38.5</v>
      </c>
      <c r="K137" s="32"/>
      <c r="L137" s="33">
        <f t="shared" si="11"/>
        <v>0</v>
      </c>
      <c r="M137" s="37"/>
    </row>
    <row r="138" spans="1:15" ht="15.75" customHeight="1">
      <c r="B138" s="11">
        <f t="shared" si="13"/>
        <v>132</v>
      </c>
      <c r="C138" s="132" t="s">
        <v>704</v>
      </c>
      <c r="D138" s="197">
        <v>105134</v>
      </c>
      <c r="E138" s="31" t="s">
        <v>705</v>
      </c>
      <c r="F138" s="14">
        <v>38.5</v>
      </c>
      <c r="G138" s="130">
        <v>36.67</v>
      </c>
      <c r="H138" s="131">
        <v>1.83</v>
      </c>
      <c r="I138" s="18"/>
      <c r="J138" s="18">
        <f t="shared" si="12"/>
        <v>38.5</v>
      </c>
      <c r="K138" s="32"/>
      <c r="L138" s="33">
        <f t="shared" ref="L138:L169" si="14">+(F138-((SUM(J138+K138))))</f>
        <v>0</v>
      </c>
      <c r="M138" s="37"/>
    </row>
    <row r="139" spans="1:15" s="3" customFormat="1" ht="15" customHeight="1">
      <c r="A139" s="6"/>
      <c r="B139" s="11">
        <f t="shared" si="13"/>
        <v>133</v>
      </c>
      <c r="C139" s="132" t="s">
        <v>706</v>
      </c>
      <c r="D139" s="197">
        <v>105067</v>
      </c>
      <c r="E139" s="31" t="s">
        <v>707</v>
      </c>
      <c r="F139" s="14">
        <v>38.5</v>
      </c>
      <c r="G139" s="130">
        <v>36.67</v>
      </c>
      <c r="H139" s="131">
        <v>1.83</v>
      </c>
      <c r="I139" s="18"/>
      <c r="J139" s="18">
        <f t="shared" si="12"/>
        <v>38.5</v>
      </c>
      <c r="K139" s="32"/>
      <c r="L139" s="33">
        <f t="shared" si="14"/>
        <v>0</v>
      </c>
      <c r="M139" s="37"/>
    </row>
    <row r="140" spans="1:15">
      <c r="B140" s="11">
        <f t="shared" si="13"/>
        <v>134</v>
      </c>
      <c r="C140" s="132" t="s">
        <v>708</v>
      </c>
      <c r="D140" s="197">
        <v>105098</v>
      </c>
      <c r="E140" s="31" t="s">
        <v>709</v>
      </c>
      <c r="F140" s="14">
        <v>38.5</v>
      </c>
      <c r="G140" s="130">
        <v>36.67</v>
      </c>
      <c r="H140" s="131">
        <v>1.83</v>
      </c>
      <c r="I140" s="18"/>
      <c r="J140" s="18">
        <f t="shared" si="12"/>
        <v>38.5</v>
      </c>
      <c r="K140" s="32"/>
      <c r="L140" s="33">
        <f t="shared" si="14"/>
        <v>0</v>
      </c>
      <c r="M140" s="37"/>
    </row>
    <row r="141" spans="1:15">
      <c r="B141" s="11">
        <f t="shared" si="13"/>
        <v>135</v>
      </c>
      <c r="C141" s="19" t="s">
        <v>423</v>
      </c>
      <c r="D141" s="19">
        <v>101626</v>
      </c>
      <c r="E141" s="118" t="s">
        <v>710</v>
      </c>
      <c r="F141" s="14">
        <v>51.94</v>
      </c>
      <c r="G141" s="15">
        <v>50</v>
      </c>
      <c r="H141" s="16">
        <v>1.94</v>
      </c>
      <c r="I141" s="18"/>
      <c r="J141" s="18">
        <f t="shared" si="12"/>
        <v>51.94</v>
      </c>
      <c r="K141" s="32"/>
      <c r="L141" s="33">
        <f t="shared" si="14"/>
        <v>0</v>
      </c>
      <c r="M141" s="37"/>
    </row>
    <row r="142" spans="1:15">
      <c r="B142" s="11">
        <f t="shared" si="13"/>
        <v>136</v>
      </c>
      <c r="C142" s="19" t="s">
        <v>404</v>
      </c>
      <c r="D142" s="19">
        <v>101792</v>
      </c>
      <c r="E142" s="31" t="s">
        <v>711</v>
      </c>
      <c r="F142" s="14">
        <v>52.5</v>
      </c>
      <c r="G142" s="15">
        <v>50</v>
      </c>
      <c r="H142" s="16">
        <v>2.5</v>
      </c>
      <c r="I142" s="18"/>
      <c r="J142" s="18">
        <f t="shared" si="12"/>
        <v>52.5</v>
      </c>
      <c r="K142" s="32"/>
      <c r="L142" s="33">
        <f t="shared" si="14"/>
        <v>0</v>
      </c>
      <c r="M142" s="37"/>
    </row>
    <row r="143" spans="1:15">
      <c r="B143" s="11">
        <f t="shared" si="13"/>
        <v>137</v>
      </c>
      <c r="C143" s="19" t="s">
        <v>712</v>
      </c>
      <c r="D143" s="19">
        <v>101792</v>
      </c>
      <c r="E143" s="118" t="s">
        <v>713</v>
      </c>
      <c r="F143" s="14">
        <v>159.03</v>
      </c>
      <c r="G143" s="15">
        <v>101.61</v>
      </c>
      <c r="H143" s="16">
        <v>7.58</v>
      </c>
      <c r="I143" s="18">
        <v>49.84</v>
      </c>
      <c r="J143" s="18">
        <f t="shared" si="12"/>
        <v>159.03</v>
      </c>
      <c r="K143" s="32"/>
      <c r="L143" s="33">
        <f t="shared" si="14"/>
        <v>0</v>
      </c>
      <c r="M143" s="37"/>
    </row>
    <row r="144" spans="1:15">
      <c r="B144" s="11">
        <f t="shared" si="13"/>
        <v>138</v>
      </c>
      <c r="C144" s="19" t="s">
        <v>714</v>
      </c>
      <c r="D144" s="19">
        <v>101711</v>
      </c>
      <c r="E144" s="118" t="s">
        <v>715</v>
      </c>
      <c r="F144" s="14">
        <v>52.5</v>
      </c>
      <c r="G144" s="15">
        <v>50</v>
      </c>
      <c r="H144" s="16">
        <v>2.5</v>
      </c>
      <c r="I144" s="18"/>
      <c r="J144" s="18">
        <f t="shared" si="12"/>
        <v>52.5</v>
      </c>
      <c r="K144" s="32"/>
      <c r="L144" s="33">
        <f t="shared" si="14"/>
        <v>0</v>
      </c>
      <c r="M144" s="37"/>
    </row>
    <row r="145" spans="2:14">
      <c r="B145" s="11">
        <f t="shared" si="13"/>
        <v>139</v>
      </c>
      <c r="C145" s="19" t="s">
        <v>716</v>
      </c>
      <c r="D145" s="19">
        <v>101035</v>
      </c>
      <c r="E145" s="31" t="s">
        <v>717</v>
      </c>
      <c r="F145" s="14">
        <v>52.5</v>
      </c>
      <c r="G145" s="20">
        <v>50</v>
      </c>
      <c r="H145" s="16">
        <v>2.5</v>
      </c>
      <c r="I145" s="18"/>
      <c r="J145" s="18">
        <f t="shared" si="12"/>
        <v>52.5</v>
      </c>
      <c r="K145" s="32"/>
      <c r="L145" s="33">
        <f t="shared" si="14"/>
        <v>0</v>
      </c>
      <c r="M145" s="37"/>
    </row>
    <row r="146" spans="2:14">
      <c r="B146" s="11">
        <f t="shared" si="13"/>
        <v>140</v>
      </c>
      <c r="C146" s="19" t="s">
        <v>718</v>
      </c>
      <c r="D146" s="19">
        <v>101071</v>
      </c>
      <c r="E146" s="31" t="s">
        <v>163</v>
      </c>
      <c r="F146" s="14">
        <v>52.5</v>
      </c>
      <c r="G146" s="20">
        <v>50</v>
      </c>
      <c r="H146" s="21">
        <v>2.5</v>
      </c>
      <c r="I146" s="18"/>
      <c r="J146" s="18">
        <f t="shared" si="12"/>
        <v>52.5</v>
      </c>
      <c r="K146" s="32"/>
      <c r="L146" s="33">
        <f t="shared" si="14"/>
        <v>0</v>
      </c>
      <c r="M146" s="37"/>
    </row>
    <row r="147" spans="2:14">
      <c r="B147" s="11">
        <f t="shared" si="13"/>
        <v>141</v>
      </c>
      <c r="C147" s="19" t="s">
        <v>719</v>
      </c>
      <c r="D147" s="19">
        <v>101090</v>
      </c>
      <c r="E147" s="31" t="s">
        <v>177</v>
      </c>
      <c r="F147" s="14">
        <v>52.5</v>
      </c>
      <c r="G147" s="20">
        <v>50</v>
      </c>
      <c r="H147" s="21">
        <v>2.5</v>
      </c>
      <c r="I147" s="18"/>
      <c r="J147" s="18">
        <f t="shared" si="12"/>
        <v>52.5</v>
      </c>
      <c r="K147" s="32"/>
      <c r="L147" s="33">
        <f t="shared" si="14"/>
        <v>0</v>
      </c>
      <c r="M147" s="37"/>
    </row>
    <row r="148" spans="2:14">
      <c r="B148" s="11">
        <f t="shared" si="13"/>
        <v>142</v>
      </c>
      <c r="C148" s="30" t="s">
        <v>720</v>
      </c>
      <c r="D148" s="19">
        <v>101171</v>
      </c>
      <c r="E148" s="31" t="s">
        <v>161</v>
      </c>
      <c r="F148" s="14">
        <v>52.5</v>
      </c>
      <c r="G148" s="20">
        <v>50</v>
      </c>
      <c r="H148" s="21">
        <v>2.5</v>
      </c>
      <c r="I148" s="18"/>
      <c r="J148" s="18">
        <f t="shared" si="12"/>
        <v>52.5</v>
      </c>
      <c r="K148" s="32"/>
      <c r="L148" s="33">
        <f t="shared" si="14"/>
        <v>0</v>
      </c>
      <c r="M148" s="37"/>
    </row>
    <row r="149" spans="2:14">
      <c r="B149" s="11">
        <f t="shared" si="13"/>
        <v>143</v>
      </c>
      <c r="C149" s="19" t="s">
        <v>721</v>
      </c>
      <c r="D149" s="19">
        <v>101273</v>
      </c>
      <c r="E149" s="31" t="s">
        <v>722</v>
      </c>
      <c r="F149" s="14">
        <v>52.5</v>
      </c>
      <c r="G149" s="15">
        <v>50</v>
      </c>
      <c r="H149" s="21">
        <v>2.5</v>
      </c>
      <c r="I149" s="18"/>
      <c r="J149" s="18">
        <f t="shared" si="12"/>
        <v>52.5</v>
      </c>
      <c r="K149" s="32"/>
      <c r="L149" s="33">
        <f t="shared" si="14"/>
        <v>0</v>
      </c>
      <c r="M149" s="37"/>
    </row>
    <row r="150" spans="2:14" ht="15.75" customHeight="1">
      <c r="B150" s="11">
        <f t="shared" si="13"/>
        <v>144</v>
      </c>
      <c r="C150" s="19" t="s">
        <v>723</v>
      </c>
      <c r="D150" s="19">
        <v>101698</v>
      </c>
      <c r="E150" s="31" t="s">
        <v>724</v>
      </c>
      <c r="F150" s="14">
        <v>52.5</v>
      </c>
      <c r="G150" s="20">
        <v>50</v>
      </c>
      <c r="H150" s="21">
        <v>2.5</v>
      </c>
      <c r="I150" s="18"/>
      <c r="J150" s="18">
        <f t="shared" si="12"/>
        <v>52.5</v>
      </c>
      <c r="K150" s="32"/>
      <c r="L150" s="33">
        <f t="shared" si="14"/>
        <v>0</v>
      </c>
      <c r="M150" s="37"/>
    </row>
    <row r="151" spans="2:14" ht="15.75" customHeight="1">
      <c r="B151" s="11">
        <f t="shared" si="13"/>
        <v>145</v>
      </c>
      <c r="C151" s="19" t="s">
        <v>725</v>
      </c>
      <c r="D151" s="19">
        <v>101315</v>
      </c>
      <c r="E151" s="118" t="s">
        <v>726</v>
      </c>
      <c r="F151" s="14">
        <v>52.5</v>
      </c>
      <c r="G151" s="15">
        <v>50</v>
      </c>
      <c r="H151" s="21">
        <v>2.5</v>
      </c>
      <c r="I151" s="18"/>
      <c r="J151" s="18">
        <f t="shared" si="12"/>
        <v>52.5</v>
      </c>
      <c r="K151" s="32"/>
      <c r="L151" s="33">
        <f t="shared" si="14"/>
        <v>0</v>
      </c>
      <c r="M151" s="37"/>
    </row>
    <row r="152" spans="2:14" ht="15" customHeight="1">
      <c r="B152" s="11">
        <f t="shared" si="13"/>
        <v>146</v>
      </c>
      <c r="C152" s="19" t="s">
        <v>727</v>
      </c>
      <c r="D152" s="211">
        <v>101601</v>
      </c>
      <c r="E152" s="213" t="s">
        <v>728</v>
      </c>
      <c r="F152" s="14">
        <v>52.5</v>
      </c>
      <c r="G152" s="15">
        <v>50</v>
      </c>
      <c r="H152" s="21">
        <v>2.5</v>
      </c>
      <c r="I152" s="18"/>
      <c r="J152" s="18">
        <f t="shared" si="12"/>
        <v>52.5</v>
      </c>
      <c r="K152" s="32"/>
      <c r="L152" s="33">
        <f t="shared" si="14"/>
        <v>0</v>
      </c>
      <c r="M152" s="37"/>
    </row>
    <row r="153" spans="2:14" ht="18" customHeight="1">
      <c r="B153" s="11">
        <f t="shared" si="13"/>
        <v>147</v>
      </c>
      <c r="C153" s="19" t="s">
        <v>729</v>
      </c>
      <c r="D153" s="19">
        <v>101335</v>
      </c>
      <c r="E153" s="31" t="s">
        <v>173</v>
      </c>
      <c r="F153" s="14">
        <v>52.5</v>
      </c>
      <c r="G153" s="20">
        <v>50</v>
      </c>
      <c r="H153" s="21">
        <v>2.5</v>
      </c>
      <c r="I153" s="18"/>
      <c r="J153" s="18">
        <f t="shared" si="12"/>
        <v>52.5</v>
      </c>
      <c r="K153" s="32"/>
      <c r="L153" s="33">
        <f t="shared" si="14"/>
        <v>0</v>
      </c>
      <c r="M153" s="37"/>
    </row>
    <row r="154" spans="2:14">
      <c r="B154" s="11">
        <f t="shared" si="13"/>
        <v>148</v>
      </c>
      <c r="C154" s="19" t="s">
        <v>730</v>
      </c>
      <c r="D154" s="19">
        <v>101413</v>
      </c>
      <c r="E154" s="31" t="s">
        <v>159</v>
      </c>
      <c r="F154" s="14">
        <v>52.5</v>
      </c>
      <c r="G154" s="20">
        <v>50</v>
      </c>
      <c r="H154" s="21">
        <v>2.5</v>
      </c>
      <c r="I154" s="18"/>
      <c r="J154" s="18">
        <f t="shared" ref="J154:J182" si="15">SUM(G154+H154+I154)</f>
        <v>52.5</v>
      </c>
      <c r="K154" s="32"/>
      <c r="L154" s="33">
        <f t="shared" si="14"/>
        <v>0</v>
      </c>
      <c r="M154" s="37"/>
    </row>
    <row r="155" spans="2:14" ht="15" customHeight="1">
      <c r="B155" s="11">
        <f t="shared" si="13"/>
        <v>149</v>
      </c>
      <c r="C155" s="19" t="s">
        <v>731</v>
      </c>
      <c r="D155" s="211">
        <v>101903</v>
      </c>
      <c r="E155" s="213" t="s">
        <v>732</v>
      </c>
      <c r="F155" s="14">
        <v>52.5</v>
      </c>
      <c r="G155" s="15">
        <v>50</v>
      </c>
      <c r="H155" s="21">
        <v>2.5</v>
      </c>
      <c r="I155" s="18"/>
      <c r="J155" s="18">
        <f t="shared" si="15"/>
        <v>52.5</v>
      </c>
      <c r="K155" s="32"/>
      <c r="L155" s="33">
        <f t="shared" si="14"/>
        <v>0</v>
      </c>
      <c r="M155" s="37"/>
    </row>
    <row r="156" spans="2:14">
      <c r="B156" s="11">
        <f t="shared" si="13"/>
        <v>150</v>
      </c>
      <c r="C156" s="19" t="s">
        <v>733</v>
      </c>
      <c r="D156" s="19">
        <v>101505</v>
      </c>
      <c r="E156" s="31" t="s">
        <v>734</v>
      </c>
      <c r="F156" s="14">
        <v>52.5</v>
      </c>
      <c r="G156" s="20">
        <v>50</v>
      </c>
      <c r="H156" s="21">
        <v>2.5</v>
      </c>
      <c r="I156" s="18"/>
      <c r="J156" s="18">
        <f t="shared" si="15"/>
        <v>52.5</v>
      </c>
      <c r="K156" s="32"/>
      <c r="L156" s="33">
        <f t="shared" si="14"/>
        <v>0</v>
      </c>
      <c r="M156" s="37"/>
    </row>
    <row r="157" spans="2:14">
      <c r="B157" s="11">
        <f t="shared" si="13"/>
        <v>151</v>
      </c>
      <c r="C157" s="19" t="s">
        <v>735</v>
      </c>
      <c r="D157" s="19">
        <v>101682</v>
      </c>
      <c r="E157" s="118" t="s">
        <v>736</v>
      </c>
      <c r="F157" s="14">
        <v>52.5</v>
      </c>
      <c r="G157" s="15">
        <v>50</v>
      </c>
      <c r="H157" s="21">
        <v>2.5</v>
      </c>
      <c r="I157" s="18"/>
      <c r="J157" s="18">
        <f t="shared" si="15"/>
        <v>52.5</v>
      </c>
      <c r="K157" s="32"/>
      <c r="L157" s="33">
        <f t="shared" si="14"/>
        <v>0</v>
      </c>
      <c r="M157" s="37"/>
    </row>
    <row r="158" spans="2:14">
      <c r="B158" s="11">
        <f t="shared" si="13"/>
        <v>152</v>
      </c>
      <c r="C158" s="30" t="s">
        <v>401</v>
      </c>
      <c r="D158" s="19">
        <v>101907</v>
      </c>
      <c r="E158" s="50" t="s">
        <v>737</v>
      </c>
      <c r="F158" s="14">
        <v>117.39</v>
      </c>
      <c r="G158" s="15">
        <v>50</v>
      </c>
      <c r="H158" s="16">
        <v>5.58</v>
      </c>
      <c r="I158" s="18">
        <v>61.81</v>
      </c>
      <c r="J158" s="25">
        <f t="shared" si="15"/>
        <v>117.39</v>
      </c>
      <c r="K158" s="35"/>
      <c r="L158" s="33">
        <f t="shared" si="14"/>
        <v>0</v>
      </c>
      <c r="M158" s="37"/>
      <c r="N158" s="40"/>
    </row>
    <row r="159" spans="2:14">
      <c r="B159" s="11">
        <f t="shared" si="13"/>
        <v>153</v>
      </c>
      <c r="C159" s="19" t="s">
        <v>738</v>
      </c>
      <c r="D159" s="19">
        <v>101773</v>
      </c>
      <c r="E159" s="118" t="s">
        <v>739</v>
      </c>
      <c r="F159" s="14">
        <v>350.26</v>
      </c>
      <c r="G159" s="15">
        <v>50</v>
      </c>
      <c r="H159" s="16">
        <v>2.56</v>
      </c>
      <c r="I159" s="14"/>
      <c r="J159" s="18">
        <f t="shared" si="15"/>
        <v>52.56</v>
      </c>
      <c r="K159" s="32">
        <v>297.7</v>
      </c>
      <c r="L159" s="36">
        <f t="shared" si="14"/>
        <v>0</v>
      </c>
      <c r="M159" s="37" t="s">
        <v>504</v>
      </c>
    </row>
    <row r="160" spans="2:14">
      <c r="B160" s="11">
        <f t="shared" si="13"/>
        <v>154</v>
      </c>
      <c r="C160" s="19" t="s">
        <v>740</v>
      </c>
      <c r="D160" s="19">
        <v>101523</v>
      </c>
      <c r="E160" s="168" t="s">
        <v>741</v>
      </c>
      <c r="F160" s="14">
        <v>190.35</v>
      </c>
      <c r="G160" s="15">
        <v>50</v>
      </c>
      <c r="H160" s="16">
        <v>9.06</v>
      </c>
      <c r="I160" s="18">
        <v>25.35</v>
      </c>
      <c r="J160" s="18">
        <f t="shared" si="15"/>
        <v>84.41</v>
      </c>
      <c r="K160" s="32">
        <v>105.94</v>
      </c>
      <c r="L160" s="33">
        <f t="shared" si="14"/>
        <v>0</v>
      </c>
      <c r="M160" s="37" t="s">
        <v>504</v>
      </c>
      <c r="N160" s="40"/>
    </row>
    <row r="161" spans="2:14">
      <c r="B161" s="11">
        <f t="shared" si="13"/>
        <v>155</v>
      </c>
      <c r="C161" s="19" t="s">
        <v>742</v>
      </c>
      <c r="D161" s="19">
        <v>101818</v>
      </c>
      <c r="E161" s="31" t="s">
        <v>743</v>
      </c>
      <c r="F161" s="14">
        <v>188.42</v>
      </c>
      <c r="G161" s="15">
        <v>50</v>
      </c>
      <c r="H161" s="54">
        <v>8.9700000000000006</v>
      </c>
      <c r="I161" s="18">
        <v>129.44999999999999</v>
      </c>
      <c r="J161" s="18">
        <f t="shared" si="15"/>
        <v>188.42</v>
      </c>
      <c r="K161" s="32"/>
      <c r="L161" s="33">
        <f t="shared" si="14"/>
        <v>0</v>
      </c>
      <c r="M161" s="37"/>
      <c r="N161" s="58"/>
    </row>
    <row r="162" spans="2:14">
      <c r="B162" s="11">
        <f t="shared" si="13"/>
        <v>156</v>
      </c>
      <c r="C162" s="19" t="s">
        <v>744</v>
      </c>
      <c r="D162" s="19">
        <v>101819</v>
      </c>
      <c r="E162" s="31" t="s">
        <v>745</v>
      </c>
      <c r="F162" s="14">
        <v>105</v>
      </c>
      <c r="G162" s="15">
        <v>100</v>
      </c>
      <c r="H162" s="54">
        <v>5</v>
      </c>
      <c r="I162" s="18"/>
      <c r="J162" s="18">
        <f t="shared" si="15"/>
        <v>105</v>
      </c>
      <c r="K162" s="32"/>
      <c r="L162" s="33">
        <f t="shared" si="14"/>
        <v>0</v>
      </c>
      <c r="M162" s="37"/>
      <c r="N162" s="59" t="s">
        <v>525</v>
      </c>
    </row>
    <row r="163" spans="2:14">
      <c r="B163" s="11">
        <f t="shared" si="13"/>
        <v>157</v>
      </c>
      <c r="C163" s="19" t="s">
        <v>746</v>
      </c>
      <c r="D163" s="19">
        <v>101833</v>
      </c>
      <c r="E163" s="31" t="s">
        <v>747</v>
      </c>
      <c r="F163" s="14">
        <v>161.24</v>
      </c>
      <c r="G163" s="15">
        <v>100</v>
      </c>
      <c r="H163" s="54">
        <v>7.68</v>
      </c>
      <c r="I163" s="18">
        <v>53.56</v>
      </c>
      <c r="J163" s="18">
        <f t="shared" si="15"/>
        <v>161.24</v>
      </c>
      <c r="K163" s="32"/>
      <c r="L163" s="33">
        <f t="shared" si="14"/>
        <v>0</v>
      </c>
      <c r="M163" s="37"/>
      <c r="N163" s="60" t="s">
        <v>79</v>
      </c>
    </row>
    <row r="164" spans="2:14">
      <c r="B164" s="11">
        <f t="shared" si="13"/>
        <v>158</v>
      </c>
      <c r="C164" s="19" t="s">
        <v>748</v>
      </c>
      <c r="D164" s="19"/>
      <c r="E164" s="118" t="s">
        <v>749</v>
      </c>
      <c r="F164" s="14">
        <v>52.5</v>
      </c>
      <c r="G164" s="15">
        <v>50</v>
      </c>
      <c r="H164" s="16">
        <v>2.5</v>
      </c>
      <c r="I164" s="18"/>
      <c r="J164" s="18">
        <f t="shared" si="15"/>
        <v>52.5</v>
      </c>
      <c r="K164" s="179"/>
      <c r="L164" s="33">
        <f t="shared" si="14"/>
        <v>0</v>
      </c>
      <c r="M164" s="186"/>
      <c r="N164" s="40"/>
    </row>
    <row r="165" spans="2:14">
      <c r="B165" s="11">
        <f t="shared" si="13"/>
        <v>159</v>
      </c>
      <c r="C165" s="19" t="s">
        <v>750</v>
      </c>
      <c r="D165" s="19"/>
      <c r="E165" s="118" t="s">
        <v>751</v>
      </c>
      <c r="F165" s="14">
        <v>341.25</v>
      </c>
      <c r="G165" s="15">
        <v>325</v>
      </c>
      <c r="H165" s="16">
        <v>16.25</v>
      </c>
      <c r="I165" s="18"/>
      <c r="J165" s="18">
        <f t="shared" si="15"/>
        <v>341.25</v>
      </c>
      <c r="K165" s="32"/>
      <c r="L165" s="33">
        <f t="shared" si="14"/>
        <v>0</v>
      </c>
      <c r="M165" s="37"/>
      <c r="N165" s="40"/>
    </row>
    <row r="166" spans="2:14">
      <c r="B166" s="11">
        <f t="shared" si="13"/>
        <v>160</v>
      </c>
      <c r="C166" s="19" t="s">
        <v>3</v>
      </c>
      <c r="D166" s="19"/>
      <c r="E166" s="118" t="s">
        <v>752</v>
      </c>
      <c r="F166" s="14">
        <v>446.25</v>
      </c>
      <c r="G166" s="15">
        <v>425</v>
      </c>
      <c r="H166" s="16">
        <v>21.25</v>
      </c>
      <c r="I166" s="18"/>
      <c r="J166" s="18">
        <f t="shared" si="15"/>
        <v>446.25</v>
      </c>
      <c r="K166" s="32"/>
      <c r="L166" s="36">
        <f t="shared" si="14"/>
        <v>0</v>
      </c>
      <c r="M166" s="37"/>
      <c r="N166" s="40"/>
    </row>
    <row r="167" spans="2:14">
      <c r="B167" s="11">
        <f t="shared" si="13"/>
        <v>161</v>
      </c>
      <c r="C167" s="19" t="s">
        <v>753</v>
      </c>
      <c r="D167" s="19"/>
      <c r="E167" s="118" t="s">
        <v>754</v>
      </c>
      <c r="F167" s="14">
        <v>105</v>
      </c>
      <c r="G167" s="15">
        <v>100</v>
      </c>
      <c r="H167" s="16">
        <v>5</v>
      </c>
      <c r="I167" s="18"/>
      <c r="J167" s="18">
        <f t="shared" si="15"/>
        <v>105</v>
      </c>
      <c r="K167" s="32"/>
      <c r="L167" s="33">
        <f t="shared" si="14"/>
        <v>0</v>
      </c>
      <c r="M167" s="37"/>
      <c r="N167" s="40"/>
    </row>
    <row r="168" spans="2:14" ht="15" customHeight="1">
      <c r="B168" s="11">
        <f t="shared" si="13"/>
        <v>162</v>
      </c>
      <c r="C168" s="19" t="s">
        <v>755</v>
      </c>
      <c r="D168" s="19"/>
      <c r="E168" s="118" t="s">
        <v>756</v>
      </c>
      <c r="F168" s="14">
        <v>105</v>
      </c>
      <c r="G168" s="15">
        <v>100</v>
      </c>
      <c r="H168" s="16">
        <v>5</v>
      </c>
      <c r="I168" s="18"/>
      <c r="J168" s="18">
        <f t="shared" si="15"/>
        <v>105</v>
      </c>
      <c r="K168" s="32"/>
      <c r="L168" s="33">
        <f t="shared" si="14"/>
        <v>0</v>
      </c>
      <c r="M168" s="37"/>
      <c r="N168" s="195"/>
    </row>
    <row r="169" spans="2:14" ht="15" customHeight="1">
      <c r="B169" s="11">
        <f t="shared" si="13"/>
        <v>163</v>
      </c>
      <c r="C169" s="19" t="s">
        <v>757</v>
      </c>
      <c r="D169" s="19"/>
      <c r="E169" s="31" t="s">
        <v>758</v>
      </c>
      <c r="F169" s="14">
        <v>52.5</v>
      </c>
      <c r="G169" s="15">
        <v>50</v>
      </c>
      <c r="H169" s="54">
        <v>2.5</v>
      </c>
      <c r="I169" s="18"/>
      <c r="J169" s="18">
        <f t="shared" si="15"/>
        <v>52.5</v>
      </c>
      <c r="K169" s="32"/>
      <c r="L169" s="33">
        <f t="shared" si="14"/>
        <v>0</v>
      </c>
      <c r="M169" s="37"/>
      <c r="N169" s="194"/>
    </row>
    <row r="170" spans="2:14">
      <c r="B170" s="11">
        <f t="shared" si="13"/>
        <v>164</v>
      </c>
      <c r="C170" s="19" t="s">
        <v>759</v>
      </c>
      <c r="D170" s="19"/>
      <c r="E170" s="31" t="s">
        <v>760</v>
      </c>
      <c r="F170" s="14">
        <v>52.5</v>
      </c>
      <c r="G170" s="15">
        <v>50</v>
      </c>
      <c r="H170" s="54">
        <v>2.5</v>
      </c>
      <c r="I170" s="18"/>
      <c r="J170" s="18">
        <f t="shared" si="15"/>
        <v>52.5</v>
      </c>
      <c r="K170" s="32"/>
      <c r="L170" s="33">
        <f t="shared" ref="L170:L191" si="16">+(F170-((SUM(J170+K170))))</f>
        <v>0</v>
      </c>
      <c r="M170" s="37"/>
      <c r="N170" s="6" t="s">
        <v>539</v>
      </c>
    </row>
    <row r="171" spans="2:14">
      <c r="B171" s="11">
        <f t="shared" si="13"/>
        <v>165</v>
      </c>
      <c r="C171" s="19" t="s">
        <v>761</v>
      </c>
      <c r="D171" s="19"/>
      <c r="E171" s="31" t="s">
        <v>762</v>
      </c>
      <c r="F171" s="14">
        <v>52.5</v>
      </c>
      <c r="G171" s="15">
        <v>50</v>
      </c>
      <c r="H171" s="54">
        <v>2.5</v>
      </c>
      <c r="I171" s="18"/>
      <c r="J171" s="18">
        <f t="shared" si="15"/>
        <v>52.5</v>
      </c>
      <c r="K171" s="32"/>
      <c r="L171" s="33">
        <f t="shared" si="16"/>
        <v>0</v>
      </c>
      <c r="M171" s="37"/>
      <c r="N171" s="6" t="s">
        <v>542</v>
      </c>
    </row>
    <row r="172" spans="2:14">
      <c r="B172" s="11">
        <f t="shared" si="13"/>
        <v>166</v>
      </c>
      <c r="C172" s="19" t="s">
        <v>396</v>
      </c>
      <c r="D172" s="19">
        <v>101573</v>
      </c>
      <c r="E172" s="31" t="s">
        <v>397</v>
      </c>
      <c r="F172" s="14">
        <v>105</v>
      </c>
      <c r="G172" s="20">
        <v>100</v>
      </c>
      <c r="H172" s="21">
        <v>5</v>
      </c>
      <c r="I172" s="18"/>
      <c r="J172" s="18">
        <f t="shared" si="15"/>
        <v>105</v>
      </c>
      <c r="K172" s="32"/>
      <c r="L172" s="33">
        <f t="shared" si="16"/>
        <v>0</v>
      </c>
      <c r="M172" s="37"/>
      <c r="N172" s="40"/>
    </row>
    <row r="173" spans="2:14">
      <c r="B173" s="11">
        <f t="shared" si="13"/>
        <v>167</v>
      </c>
      <c r="C173" s="19" t="s">
        <v>763</v>
      </c>
      <c r="D173" s="19">
        <v>101229</v>
      </c>
      <c r="E173" s="31" t="s">
        <v>764</v>
      </c>
      <c r="F173" s="14">
        <v>63.8</v>
      </c>
      <c r="G173" s="53">
        <v>50</v>
      </c>
      <c r="H173" s="54">
        <v>3.04</v>
      </c>
      <c r="I173" s="43">
        <v>10.76</v>
      </c>
      <c r="J173" s="18">
        <f t="shared" si="15"/>
        <v>63.8</v>
      </c>
      <c r="K173" s="32"/>
      <c r="L173" s="33">
        <f t="shared" si="16"/>
        <v>0</v>
      </c>
      <c r="M173" s="37"/>
      <c r="N173" s="40"/>
    </row>
    <row r="174" spans="2:14" ht="18" customHeight="1">
      <c r="B174" s="11">
        <f t="shared" si="13"/>
        <v>168</v>
      </c>
      <c r="C174" s="19" t="s">
        <v>765</v>
      </c>
      <c r="D174" s="19">
        <v>101286</v>
      </c>
      <c r="E174" s="31" t="s">
        <v>766</v>
      </c>
      <c r="F174" s="14">
        <v>54.56</v>
      </c>
      <c r="G174" s="53">
        <v>50</v>
      </c>
      <c r="H174" s="54">
        <v>2.6</v>
      </c>
      <c r="I174" s="43">
        <v>1.96</v>
      </c>
      <c r="J174" s="18">
        <f t="shared" si="15"/>
        <v>54.56</v>
      </c>
      <c r="K174" s="32"/>
      <c r="L174" s="33">
        <f t="shared" si="16"/>
        <v>0</v>
      </c>
      <c r="M174" s="37"/>
      <c r="N174" s="40"/>
    </row>
    <row r="175" spans="2:14" ht="15.75" customHeight="1">
      <c r="B175" s="11">
        <f t="shared" si="13"/>
        <v>169</v>
      </c>
      <c r="C175" s="116" t="s">
        <v>767</v>
      </c>
      <c r="D175" s="19">
        <v>101858</v>
      </c>
      <c r="E175" s="31" t="s">
        <v>768</v>
      </c>
      <c r="F175" s="14">
        <v>52.5</v>
      </c>
      <c r="G175" s="15">
        <v>50</v>
      </c>
      <c r="H175" s="54">
        <v>2.5</v>
      </c>
      <c r="I175" s="18"/>
      <c r="J175" s="18">
        <f t="shared" si="15"/>
        <v>52.5</v>
      </c>
      <c r="K175" s="32"/>
      <c r="L175" s="33">
        <f t="shared" si="16"/>
        <v>0</v>
      </c>
      <c r="M175" s="37"/>
      <c r="N175" s="40"/>
    </row>
    <row r="176" spans="2:14">
      <c r="B176" s="11">
        <f t="shared" si="13"/>
        <v>170</v>
      </c>
      <c r="C176" s="19" t="s">
        <v>769</v>
      </c>
      <c r="D176" s="19">
        <v>101060</v>
      </c>
      <c r="E176" s="31" t="s">
        <v>770</v>
      </c>
      <c r="F176" s="14">
        <v>84.81</v>
      </c>
      <c r="G176" s="15">
        <v>50</v>
      </c>
      <c r="H176" s="21">
        <v>4.04</v>
      </c>
      <c r="I176" s="18">
        <v>30.77</v>
      </c>
      <c r="J176" s="18">
        <f t="shared" si="15"/>
        <v>84.81</v>
      </c>
      <c r="K176" s="32"/>
      <c r="L176" s="33">
        <f t="shared" si="16"/>
        <v>0</v>
      </c>
      <c r="M176" s="37"/>
      <c r="N176" s="195"/>
    </row>
    <row r="177" spans="2:15">
      <c r="B177" s="11">
        <f t="shared" si="13"/>
        <v>171</v>
      </c>
      <c r="C177" s="19" t="s">
        <v>771</v>
      </c>
      <c r="D177" s="19">
        <v>101702</v>
      </c>
      <c r="E177" s="118" t="s">
        <v>772</v>
      </c>
      <c r="F177" s="14">
        <v>58.2</v>
      </c>
      <c r="G177" s="15">
        <v>50</v>
      </c>
      <c r="H177" s="21">
        <v>2.77</v>
      </c>
      <c r="I177" s="18">
        <v>5.43</v>
      </c>
      <c r="J177" s="18">
        <f t="shared" si="15"/>
        <v>58.2</v>
      </c>
      <c r="K177" s="32"/>
      <c r="L177" s="33">
        <f t="shared" si="16"/>
        <v>0</v>
      </c>
      <c r="M177" s="37"/>
      <c r="N177" s="194"/>
    </row>
    <row r="178" spans="2:15" ht="16.149999999999999" customHeight="1">
      <c r="B178" s="11">
        <f t="shared" si="13"/>
        <v>172</v>
      </c>
      <c r="C178" s="19" t="s">
        <v>773</v>
      </c>
      <c r="D178" s="19">
        <v>101092</v>
      </c>
      <c r="E178" s="118" t="s">
        <v>774</v>
      </c>
      <c r="F178" s="14">
        <v>56.75</v>
      </c>
      <c r="G178" s="15">
        <v>50</v>
      </c>
      <c r="H178" s="21">
        <v>2.5</v>
      </c>
      <c r="I178" s="18"/>
      <c r="J178" s="18">
        <f t="shared" si="15"/>
        <v>52.5</v>
      </c>
      <c r="K178" s="32">
        <v>4.25</v>
      </c>
      <c r="L178" s="33">
        <f t="shared" si="16"/>
        <v>0</v>
      </c>
      <c r="M178" s="37" t="s">
        <v>504</v>
      </c>
      <c r="N178" s="6" t="s">
        <v>557</v>
      </c>
    </row>
    <row r="179" spans="2:15">
      <c r="B179" s="11">
        <f t="shared" si="13"/>
        <v>173</v>
      </c>
      <c r="C179" s="19" t="s">
        <v>775</v>
      </c>
      <c r="D179" s="19">
        <v>101211</v>
      </c>
      <c r="E179" s="31" t="s">
        <v>181</v>
      </c>
      <c r="F179" s="14">
        <v>52.5</v>
      </c>
      <c r="G179" s="20">
        <v>50</v>
      </c>
      <c r="H179" s="21">
        <v>2.5</v>
      </c>
      <c r="I179" s="18"/>
      <c r="J179" s="18">
        <f t="shared" si="15"/>
        <v>52.5</v>
      </c>
      <c r="K179" s="32"/>
      <c r="L179" s="33">
        <f t="shared" si="16"/>
        <v>0</v>
      </c>
      <c r="M179" s="37"/>
      <c r="N179" s="6" t="s">
        <v>559</v>
      </c>
    </row>
    <row r="180" spans="2:15">
      <c r="B180" s="11">
        <f t="shared" si="13"/>
        <v>174</v>
      </c>
      <c r="C180" s="19" t="s">
        <v>425</v>
      </c>
      <c r="D180" s="19">
        <v>101904</v>
      </c>
      <c r="E180" s="31" t="s">
        <v>776</v>
      </c>
      <c r="F180" s="14">
        <v>54.43</v>
      </c>
      <c r="G180" s="15">
        <v>50</v>
      </c>
      <c r="H180" s="16">
        <v>2.6</v>
      </c>
      <c r="I180" s="18">
        <v>1.83</v>
      </c>
      <c r="J180" s="18">
        <f t="shared" si="15"/>
        <v>54.43</v>
      </c>
      <c r="K180" s="32"/>
      <c r="L180" s="33">
        <f t="shared" si="16"/>
        <v>0</v>
      </c>
      <c r="M180" s="37"/>
    </row>
    <row r="181" spans="2:15">
      <c r="B181" s="11">
        <f t="shared" si="13"/>
        <v>175</v>
      </c>
      <c r="C181" s="19" t="s">
        <v>777</v>
      </c>
      <c r="D181" s="19">
        <v>101627</v>
      </c>
      <c r="E181" s="31" t="s">
        <v>778</v>
      </c>
      <c r="F181" s="18">
        <v>204.94</v>
      </c>
      <c r="G181" s="20">
        <v>190</v>
      </c>
      <c r="H181" s="21">
        <v>9.76</v>
      </c>
      <c r="I181" s="43">
        <v>5.18</v>
      </c>
      <c r="J181" s="18">
        <f t="shared" si="15"/>
        <v>204.94</v>
      </c>
      <c r="K181" s="32"/>
      <c r="L181" s="33">
        <f t="shared" si="16"/>
        <v>0</v>
      </c>
      <c r="M181" s="37"/>
    </row>
    <row r="182" spans="2:15" ht="15" customHeight="1">
      <c r="B182" s="11">
        <f t="shared" si="13"/>
        <v>176</v>
      </c>
      <c r="C182" s="30" t="s">
        <v>779</v>
      </c>
      <c r="D182" s="19">
        <v>101683</v>
      </c>
      <c r="E182" s="50" t="s">
        <v>254</v>
      </c>
      <c r="F182" s="14">
        <v>52.5</v>
      </c>
      <c r="G182" s="15">
        <v>50</v>
      </c>
      <c r="H182" s="16">
        <v>2.5</v>
      </c>
      <c r="I182" s="25"/>
      <c r="J182" s="18">
        <f t="shared" si="15"/>
        <v>52.5</v>
      </c>
      <c r="K182" s="35"/>
      <c r="L182" s="36">
        <f t="shared" si="16"/>
        <v>0</v>
      </c>
      <c r="M182" s="37"/>
    </row>
    <row r="183" spans="2:15">
      <c r="B183" s="11">
        <f t="shared" si="13"/>
        <v>177</v>
      </c>
      <c r="C183" s="19" t="s">
        <v>780</v>
      </c>
      <c r="D183" s="19">
        <v>101083</v>
      </c>
      <c r="E183" s="118" t="s">
        <v>781</v>
      </c>
      <c r="F183" s="14">
        <v>52.5</v>
      </c>
      <c r="G183" s="15">
        <v>50</v>
      </c>
      <c r="H183" s="16">
        <v>2.5</v>
      </c>
      <c r="I183" s="18"/>
      <c r="J183" s="18">
        <f t="shared" ref="J183:J190" si="17">SUM(G183+H183+I183)</f>
        <v>52.5</v>
      </c>
      <c r="K183" s="32"/>
      <c r="L183" s="33">
        <f t="shared" si="16"/>
        <v>0</v>
      </c>
      <c r="M183" s="37"/>
    </row>
    <row r="184" spans="2:15" ht="15.75" customHeight="1">
      <c r="B184" s="11">
        <f t="shared" si="13"/>
        <v>178</v>
      </c>
      <c r="C184" s="19" t="s">
        <v>782</v>
      </c>
      <c r="D184" s="19">
        <v>101639</v>
      </c>
      <c r="E184" s="118" t="s">
        <v>278</v>
      </c>
      <c r="F184" s="14">
        <v>105</v>
      </c>
      <c r="G184" s="15">
        <v>100</v>
      </c>
      <c r="H184" s="16">
        <v>5</v>
      </c>
      <c r="I184" s="18"/>
      <c r="J184" s="18">
        <f t="shared" si="17"/>
        <v>105</v>
      </c>
      <c r="K184" s="32"/>
      <c r="L184" s="33">
        <f t="shared" si="16"/>
        <v>0</v>
      </c>
      <c r="M184" s="37"/>
    </row>
    <row r="185" spans="2:15">
      <c r="B185" s="11">
        <f t="shared" si="13"/>
        <v>179</v>
      </c>
      <c r="C185" s="30" t="s">
        <v>783</v>
      </c>
      <c r="D185" s="19">
        <v>101862</v>
      </c>
      <c r="E185" s="50" t="s">
        <v>784</v>
      </c>
      <c r="F185" s="14">
        <v>87.72</v>
      </c>
      <c r="G185" s="15">
        <v>50</v>
      </c>
      <c r="H185" s="16">
        <v>4.18</v>
      </c>
      <c r="I185" s="25"/>
      <c r="J185" s="25">
        <f t="shared" si="17"/>
        <v>54.18</v>
      </c>
      <c r="K185" s="35">
        <v>33.54</v>
      </c>
      <c r="L185" s="33">
        <f t="shared" si="16"/>
        <v>0</v>
      </c>
      <c r="M185" s="37" t="s">
        <v>504</v>
      </c>
    </row>
    <row r="186" spans="2:15" ht="15.75" customHeight="1">
      <c r="B186" s="11">
        <f t="shared" si="13"/>
        <v>180</v>
      </c>
      <c r="C186" s="19" t="s">
        <v>785</v>
      </c>
      <c r="D186" s="19">
        <v>101841</v>
      </c>
      <c r="E186" s="31" t="s">
        <v>786</v>
      </c>
      <c r="F186" s="14">
        <v>52.5</v>
      </c>
      <c r="G186" s="15">
        <v>50</v>
      </c>
      <c r="H186" s="54">
        <v>2.5</v>
      </c>
      <c r="I186" s="18"/>
      <c r="J186" s="18">
        <f t="shared" si="17"/>
        <v>52.5</v>
      </c>
      <c r="K186" s="32"/>
      <c r="L186" s="33">
        <f t="shared" si="16"/>
        <v>0</v>
      </c>
      <c r="M186" s="37"/>
    </row>
    <row r="187" spans="2:15" ht="15.75" customHeight="1">
      <c r="B187" s="11">
        <f t="shared" si="13"/>
        <v>181</v>
      </c>
      <c r="C187" s="19" t="s">
        <v>14</v>
      </c>
      <c r="D187" s="19">
        <v>101710</v>
      </c>
      <c r="E187" s="125" t="s">
        <v>787</v>
      </c>
      <c r="F187" s="14">
        <v>56.7</v>
      </c>
      <c r="G187" s="20">
        <v>50</v>
      </c>
      <c r="H187" s="21">
        <v>2.7</v>
      </c>
      <c r="I187" s="18">
        <v>4</v>
      </c>
      <c r="J187" s="18">
        <f t="shared" si="17"/>
        <v>56.7</v>
      </c>
      <c r="K187" s="32"/>
      <c r="L187" s="33">
        <f t="shared" si="16"/>
        <v>0</v>
      </c>
      <c r="M187" s="37"/>
    </row>
    <row r="188" spans="2:15">
      <c r="B188" s="11">
        <f t="shared" si="13"/>
        <v>182</v>
      </c>
      <c r="C188" s="19" t="s">
        <v>788</v>
      </c>
      <c r="D188" s="19">
        <v>101887</v>
      </c>
      <c r="E188" s="31" t="s">
        <v>789</v>
      </c>
      <c r="F188" s="14">
        <v>73.3</v>
      </c>
      <c r="G188" s="15">
        <v>50</v>
      </c>
      <c r="H188" s="54">
        <v>3.49</v>
      </c>
      <c r="I188" s="18">
        <v>19.809999999999999</v>
      </c>
      <c r="J188" s="18">
        <f t="shared" si="17"/>
        <v>73.3</v>
      </c>
      <c r="K188" s="32"/>
      <c r="L188" s="33">
        <f t="shared" si="16"/>
        <v>0</v>
      </c>
      <c r="M188" s="37"/>
    </row>
    <row r="189" spans="2:15" ht="15" customHeight="1">
      <c r="B189" s="11">
        <f t="shared" si="13"/>
        <v>183</v>
      </c>
      <c r="C189" s="19" t="s">
        <v>20</v>
      </c>
      <c r="D189" s="19">
        <v>101737</v>
      </c>
      <c r="E189" s="118" t="s">
        <v>790</v>
      </c>
      <c r="F189" s="14">
        <v>52.5</v>
      </c>
      <c r="G189" s="20">
        <v>50</v>
      </c>
      <c r="H189" s="21">
        <v>2.5</v>
      </c>
      <c r="I189" s="18"/>
      <c r="J189" s="18">
        <f t="shared" si="17"/>
        <v>52.5</v>
      </c>
      <c r="K189" s="32"/>
      <c r="L189" s="33">
        <f t="shared" si="16"/>
        <v>0</v>
      </c>
      <c r="M189" s="37"/>
    </row>
    <row r="190" spans="2:15" ht="15.75" customHeight="1">
      <c r="B190" s="11">
        <f t="shared" si="13"/>
        <v>184</v>
      </c>
      <c r="C190" s="19" t="s">
        <v>791</v>
      </c>
      <c r="D190" s="19"/>
      <c r="E190" s="31" t="s">
        <v>792</v>
      </c>
      <c r="F190" s="14">
        <v>446.72</v>
      </c>
      <c r="G190" s="20">
        <v>425</v>
      </c>
      <c r="H190" s="21">
        <v>21.27</v>
      </c>
      <c r="I190" s="18">
        <v>0.45</v>
      </c>
      <c r="J190" s="18">
        <f t="shared" si="17"/>
        <v>446.71999999999997</v>
      </c>
      <c r="K190" s="32"/>
      <c r="L190" s="33">
        <f t="shared" si="16"/>
        <v>5.6843418860808015E-14</v>
      </c>
      <c r="M190" s="37"/>
    </row>
    <row r="191" spans="2:15" ht="16.5" thickBot="1">
      <c r="B191" s="11">
        <f t="shared" si="13"/>
        <v>185</v>
      </c>
      <c r="C191" s="187" t="s">
        <v>793</v>
      </c>
      <c r="D191" s="187"/>
      <c r="E191" s="163" t="s">
        <v>794</v>
      </c>
      <c r="F191" s="188">
        <v>446.25</v>
      </c>
      <c r="G191" s="189">
        <v>425</v>
      </c>
      <c r="H191" s="190">
        <v>21.25</v>
      </c>
      <c r="I191" s="191"/>
      <c r="J191" s="191">
        <v>446.25</v>
      </c>
      <c r="K191" s="192"/>
      <c r="L191" s="193">
        <f t="shared" si="16"/>
        <v>0</v>
      </c>
      <c r="M191" s="158"/>
    </row>
    <row r="192" spans="2:15" s="4" customFormat="1" ht="21" customHeight="1" thickBot="1">
      <c r="B192" s="63"/>
      <c r="C192" s="64"/>
      <c r="D192" s="64"/>
      <c r="E192" s="180" t="s">
        <v>795</v>
      </c>
      <c r="F192" s="65">
        <f>SUBTOTAL(9,F7:F191)</f>
        <v>31647.94</v>
      </c>
      <c r="G192" s="65">
        <f>SUBTOTAL(9,G7:G191)</f>
        <v>21334.959999999992</v>
      </c>
      <c r="H192" s="65">
        <f t="shared" ref="H192:L192" si="18">SUBTOTAL(9,H7:H191)</f>
        <v>1212.1499999999999</v>
      </c>
      <c r="I192" s="65">
        <f t="shared" si="18"/>
        <v>8080.0400000000018</v>
      </c>
      <c r="J192" s="65">
        <f t="shared" si="18"/>
        <v>30627.15</v>
      </c>
      <c r="K192" s="65">
        <f t="shared" si="18"/>
        <v>1020.79</v>
      </c>
      <c r="L192" s="65">
        <f t="shared" si="18"/>
        <v>1.2789769243681803E-13</v>
      </c>
      <c r="M192" s="155"/>
      <c r="O192" s="60"/>
    </row>
    <row r="193" spans="1:107" ht="16.5" thickBot="1">
      <c r="B193" s="66"/>
      <c r="C193" s="67"/>
      <c r="D193" s="198"/>
      <c r="E193" s="126"/>
      <c r="F193" s="68"/>
      <c r="G193" s="68"/>
      <c r="H193" s="68"/>
      <c r="I193" s="68"/>
      <c r="J193" s="68"/>
      <c r="K193" s="68"/>
      <c r="L193" s="68"/>
      <c r="M193" s="156"/>
    </row>
    <row r="194" spans="1:107" ht="16.5" thickBot="1">
      <c r="B194" s="150"/>
      <c r="C194" s="151" t="s">
        <v>796</v>
      </c>
      <c r="D194" s="151"/>
      <c r="E194" s="152"/>
      <c r="F194" s="153"/>
      <c r="G194" s="153"/>
      <c r="H194" s="153"/>
      <c r="I194" s="153"/>
      <c r="J194" s="153"/>
      <c r="K194" s="153"/>
      <c r="L194" s="153"/>
      <c r="M194" s="157"/>
      <c r="N194" s="40"/>
    </row>
    <row r="195" spans="1:107">
      <c r="B195" s="136">
        <v>1</v>
      </c>
      <c r="C195" s="19" t="s">
        <v>797</v>
      </c>
      <c r="D195" s="19">
        <v>101243</v>
      </c>
      <c r="E195" s="122" t="s">
        <v>294</v>
      </c>
      <c r="F195" s="18">
        <v>717.25</v>
      </c>
      <c r="G195" s="53">
        <v>325</v>
      </c>
      <c r="H195" s="54">
        <v>16.25</v>
      </c>
      <c r="I195" s="43">
        <v>376</v>
      </c>
      <c r="J195" s="18">
        <f>SUM(G195:I195)</f>
        <v>717.25</v>
      </c>
      <c r="K195" s="77"/>
      <c r="L195" s="33">
        <f>+(F195-((SUM(J195+K195))))</f>
        <v>0</v>
      </c>
      <c r="M195" s="37"/>
    </row>
    <row r="196" spans="1:107">
      <c r="B196" s="136">
        <f>1+B195</f>
        <v>2</v>
      </c>
      <c r="C196" s="19" t="s">
        <v>798</v>
      </c>
      <c r="D196" s="19">
        <v>101013</v>
      </c>
      <c r="E196" s="122" t="s">
        <v>297</v>
      </c>
      <c r="F196" s="18">
        <v>657.5</v>
      </c>
      <c r="G196" s="53">
        <v>200</v>
      </c>
      <c r="H196" s="54">
        <v>10</v>
      </c>
      <c r="I196" s="43">
        <v>447.5</v>
      </c>
      <c r="J196" s="18">
        <f>SUM(G196:I196)</f>
        <v>657.5</v>
      </c>
      <c r="K196" s="77"/>
      <c r="L196" s="33">
        <f>+(F196-((SUM(J196+K196))))</f>
        <v>0</v>
      </c>
      <c r="M196" s="37"/>
    </row>
    <row r="197" spans="1:107">
      <c r="B197" s="136">
        <f t="shared" ref="B197:B260" si="19">1+B196</f>
        <v>3</v>
      </c>
      <c r="C197" s="116" t="s">
        <v>799</v>
      </c>
      <c r="D197" s="19">
        <v>101879</v>
      </c>
      <c r="E197" s="31" t="s">
        <v>800</v>
      </c>
      <c r="F197" s="18">
        <v>255.27</v>
      </c>
      <c r="G197" s="15">
        <v>50</v>
      </c>
      <c r="H197" s="54">
        <v>12.16</v>
      </c>
      <c r="I197" s="18">
        <v>193.11</v>
      </c>
      <c r="J197" s="18">
        <f>SUM(G197:I197)</f>
        <v>255.27</v>
      </c>
      <c r="K197" s="32"/>
      <c r="L197" s="33">
        <f>+(F197-((SUM(J197+K197))))</f>
        <v>0</v>
      </c>
      <c r="M197" s="37"/>
    </row>
    <row r="198" spans="1:107">
      <c r="B198" s="136">
        <f t="shared" si="19"/>
        <v>4</v>
      </c>
      <c r="C198" s="19" t="s">
        <v>801</v>
      </c>
      <c r="D198" s="19">
        <v>101332</v>
      </c>
      <c r="E198" s="118" t="s">
        <v>82</v>
      </c>
      <c r="F198" s="18">
        <v>188.69</v>
      </c>
      <c r="G198" s="15">
        <v>125</v>
      </c>
      <c r="H198" s="16">
        <v>6.65</v>
      </c>
      <c r="I198" s="18">
        <v>49.98</v>
      </c>
      <c r="J198" s="18">
        <f>SUM(G198+H198+I198)</f>
        <v>181.63</v>
      </c>
      <c r="K198" s="32">
        <v>7.06</v>
      </c>
      <c r="L198" s="33">
        <f>+(F198-((SUM(J198+K198))))</f>
        <v>0</v>
      </c>
      <c r="M198" s="37" t="s">
        <v>504</v>
      </c>
    </row>
    <row r="199" spans="1:107">
      <c r="B199" s="136">
        <f t="shared" si="19"/>
        <v>5</v>
      </c>
      <c r="C199" s="19" t="s">
        <v>802</v>
      </c>
      <c r="D199" s="19">
        <v>101844</v>
      </c>
      <c r="E199" s="118" t="s">
        <v>803</v>
      </c>
      <c r="F199" s="18">
        <v>52.5</v>
      </c>
      <c r="G199" s="15">
        <v>50</v>
      </c>
      <c r="H199" s="16">
        <v>2.5</v>
      </c>
      <c r="I199" s="18"/>
      <c r="J199" s="18">
        <f>SUM(G199+H199+I199)</f>
        <v>52.5</v>
      </c>
      <c r="K199" s="32"/>
      <c r="L199" s="33">
        <f>+(F199-((SUM(J199+K199))))</f>
        <v>0</v>
      </c>
      <c r="M199" s="37"/>
    </row>
    <row r="200" spans="1:107">
      <c r="B200" s="136">
        <f t="shared" si="19"/>
        <v>6</v>
      </c>
      <c r="C200" s="19" t="s">
        <v>804</v>
      </c>
      <c r="D200" s="19">
        <v>101036</v>
      </c>
      <c r="E200" s="118" t="s">
        <v>805</v>
      </c>
      <c r="F200" s="18">
        <v>105</v>
      </c>
      <c r="G200" s="53">
        <v>100</v>
      </c>
      <c r="H200" s="54">
        <v>5</v>
      </c>
      <c r="I200" s="43"/>
      <c r="J200" s="18">
        <f>SUM(G200:I200)</f>
        <v>105</v>
      </c>
      <c r="K200" s="32"/>
      <c r="L200" s="33">
        <f t="shared" ref="L200:L258" si="20">+(F200-((SUM(J200+K200))))</f>
        <v>0</v>
      </c>
      <c r="M200" s="37"/>
    </row>
    <row r="201" spans="1:107">
      <c r="B201" s="136">
        <f t="shared" si="19"/>
        <v>7</v>
      </c>
      <c r="C201" s="30" t="s">
        <v>806</v>
      </c>
      <c r="D201" s="19">
        <v>101727</v>
      </c>
      <c r="E201" s="50" t="s">
        <v>807</v>
      </c>
      <c r="F201" s="25">
        <v>517.45000000000005</v>
      </c>
      <c r="G201" s="15">
        <v>100</v>
      </c>
      <c r="H201" s="16">
        <v>22.43</v>
      </c>
      <c r="I201" s="25">
        <v>395.02</v>
      </c>
      <c r="J201" s="25">
        <f t="shared" ref="J201:J208" si="21">SUM(G201+H201+I201)</f>
        <v>517.45000000000005</v>
      </c>
      <c r="K201" s="32"/>
      <c r="L201" s="33">
        <f t="shared" si="20"/>
        <v>0</v>
      </c>
      <c r="M201" s="37"/>
    </row>
    <row r="202" spans="1:107" s="39" customFormat="1">
      <c r="B202" s="136">
        <f t="shared" si="19"/>
        <v>8</v>
      </c>
      <c r="C202" s="19" t="s">
        <v>808</v>
      </c>
      <c r="D202" s="19">
        <v>101709</v>
      </c>
      <c r="E202" s="118" t="s">
        <v>809</v>
      </c>
      <c r="F202" s="18">
        <v>113.6</v>
      </c>
      <c r="G202" s="15">
        <v>100</v>
      </c>
      <c r="H202" s="16">
        <v>5.08</v>
      </c>
      <c r="I202" s="18">
        <v>8.52</v>
      </c>
      <c r="J202" s="18">
        <f t="shared" si="21"/>
        <v>113.6</v>
      </c>
      <c r="K202" s="32"/>
      <c r="L202" s="33">
        <f t="shared" si="20"/>
        <v>0</v>
      </c>
      <c r="M202" s="3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</row>
    <row r="203" spans="1:107" s="2" customFormat="1">
      <c r="A203" s="6"/>
      <c r="B203" s="136">
        <f t="shared" si="19"/>
        <v>9</v>
      </c>
      <c r="C203" s="19" t="s">
        <v>810</v>
      </c>
      <c r="D203" s="19">
        <v>101563</v>
      </c>
      <c r="E203" s="31" t="s">
        <v>811</v>
      </c>
      <c r="F203" s="18">
        <v>52.5</v>
      </c>
      <c r="G203" s="20">
        <v>50</v>
      </c>
      <c r="H203" s="21">
        <v>2.5</v>
      </c>
      <c r="I203" s="18"/>
      <c r="J203" s="18">
        <f t="shared" si="21"/>
        <v>52.5</v>
      </c>
      <c r="K203" s="32"/>
      <c r="L203" s="33">
        <f t="shared" si="20"/>
        <v>0</v>
      </c>
      <c r="M203" s="3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</row>
    <row r="204" spans="1:107">
      <c r="B204" s="136">
        <f t="shared" si="19"/>
        <v>10</v>
      </c>
      <c r="C204" s="19" t="s">
        <v>812</v>
      </c>
      <c r="D204" s="19">
        <v>101051</v>
      </c>
      <c r="E204" s="118" t="s">
        <v>91</v>
      </c>
      <c r="F204" s="18">
        <v>105</v>
      </c>
      <c r="G204" s="15">
        <v>100</v>
      </c>
      <c r="H204" s="16">
        <v>5</v>
      </c>
      <c r="I204" s="18"/>
      <c r="J204" s="18">
        <f t="shared" si="21"/>
        <v>105</v>
      </c>
      <c r="K204" s="32"/>
      <c r="L204" s="33">
        <f t="shared" si="20"/>
        <v>0</v>
      </c>
      <c r="M204" s="37"/>
    </row>
    <row r="205" spans="1:107" ht="15.75" customHeight="1">
      <c r="B205" s="136">
        <f t="shared" si="19"/>
        <v>11</v>
      </c>
      <c r="C205" s="19" t="s">
        <v>813</v>
      </c>
      <c r="D205" s="19">
        <v>101056</v>
      </c>
      <c r="E205" s="31" t="s">
        <v>101</v>
      </c>
      <c r="F205" s="18">
        <v>52.5</v>
      </c>
      <c r="G205" s="15">
        <v>50</v>
      </c>
      <c r="H205" s="16">
        <v>2.5</v>
      </c>
      <c r="I205" s="18"/>
      <c r="J205" s="18">
        <f t="shared" si="21"/>
        <v>52.5</v>
      </c>
      <c r="K205" s="32"/>
      <c r="L205" s="33">
        <f t="shared" si="20"/>
        <v>0</v>
      </c>
      <c r="M205" s="37"/>
    </row>
    <row r="206" spans="1:107">
      <c r="B206" s="136">
        <f t="shared" si="19"/>
        <v>12</v>
      </c>
      <c r="C206" s="30" t="s">
        <v>814</v>
      </c>
      <c r="D206" s="19">
        <v>101300</v>
      </c>
      <c r="E206" s="84" t="s">
        <v>115</v>
      </c>
      <c r="F206" s="25">
        <v>156.69</v>
      </c>
      <c r="G206" s="15">
        <v>100</v>
      </c>
      <c r="H206" s="16">
        <v>5.32</v>
      </c>
      <c r="I206" s="25"/>
      <c r="J206" s="25">
        <f t="shared" si="21"/>
        <v>105.32</v>
      </c>
      <c r="K206" s="35">
        <v>51.37</v>
      </c>
      <c r="L206" s="33">
        <f t="shared" si="20"/>
        <v>0</v>
      </c>
      <c r="M206" s="37" t="s">
        <v>504</v>
      </c>
    </row>
    <row r="207" spans="1:107" ht="18" customHeight="1">
      <c r="B207" s="136">
        <f t="shared" si="19"/>
        <v>13</v>
      </c>
      <c r="C207" s="28" t="s">
        <v>815</v>
      </c>
      <c r="D207" s="19">
        <v>101894</v>
      </c>
      <c r="E207" s="121" t="s">
        <v>816</v>
      </c>
      <c r="F207" s="14">
        <v>52.5</v>
      </c>
      <c r="G207" s="15">
        <v>50</v>
      </c>
      <c r="H207" s="29">
        <v>2.5</v>
      </c>
      <c r="I207" s="18"/>
      <c r="J207" s="18">
        <f>SUM(G207+H207+I207)</f>
        <v>52.5</v>
      </c>
      <c r="K207" s="32"/>
      <c r="L207" s="33">
        <f>+(F207-((SUM(J207+K207))))</f>
        <v>0</v>
      </c>
      <c r="M207" s="38"/>
    </row>
    <row r="208" spans="1:107">
      <c r="B208" s="136">
        <f t="shared" si="19"/>
        <v>14</v>
      </c>
      <c r="C208" s="19" t="s">
        <v>817</v>
      </c>
      <c r="D208" s="19">
        <v>101261</v>
      </c>
      <c r="E208" s="31" t="s">
        <v>99</v>
      </c>
      <c r="F208" s="18">
        <v>105</v>
      </c>
      <c r="G208" s="15">
        <v>100</v>
      </c>
      <c r="H208" s="16">
        <v>5</v>
      </c>
      <c r="I208" s="18"/>
      <c r="J208" s="18">
        <f t="shared" si="21"/>
        <v>105</v>
      </c>
      <c r="K208" s="32"/>
      <c r="L208" s="33">
        <f t="shared" si="20"/>
        <v>0</v>
      </c>
      <c r="M208" s="37"/>
    </row>
    <row r="209" spans="1:15">
      <c r="B209" s="136">
        <f t="shared" si="19"/>
        <v>15</v>
      </c>
      <c r="C209" s="19" t="s">
        <v>818</v>
      </c>
      <c r="D209" s="19">
        <v>101023</v>
      </c>
      <c r="E209" s="118" t="s">
        <v>819</v>
      </c>
      <c r="F209" s="18">
        <v>229.19</v>
      </c>
      <c r="G209" s="53">
        <v>200</v>
      </c>
      <c r="H209" s="54">
        <v>10.15</v>
      </c>
      <c r="I209" s="43"/>
      <c r="J209" s="18">
        <f t="shared" ref="J209:J257" si="22">SUM(G209:I209)</f>
        <v>210.15</v>
      </c>
      <c r="K209" s="32">
        <v>19.04</v>
      </c>
      <c r="L209" s="33">
        <f t="shared" si="20"/>
        <v>0</v>
      </c>
      <c r="M209" s="37" t="s">
        <v>504</v>
      </c>
    </row>
    <row r="210" spans="1:15">
      <c r="B210" s="136">
        <f t="shared" si="19"/>
        <v>16</v>
      </c>
      <c r="C210" s="30" t="s">
        <v>820</v>
      </c>
      <c r="D210" s="19">
        <v>101014</v>
      </c>
      <c r="E210" s="50" t="s">
        <v>821</v>
      </c>
      <c r="F210" s="25">
        <v>237.55</v>
      </c>
      <c r="G210" s="74">
        <v>200</v>
      </c>
      <c r="H210" s="75">
        <v>10.210000000000001</v>
      </c>
      <c r="I210" s="43"/>
      <c r="J210" s="25">
        <f t="shared" si="22"/>
        <v>210.21</v>
      </c>
      <c r="K210" s="76">
        <v>27.34</v>
      </c>
      <c r="L210" s="36">
        <f t="shared" si="20"/>
        <v>0</v>
      </c>
      <c r="M210" s="37" t="s">
        <v>504</v>
      </c>
    </row>
    <row r="211" spans="1:15" ht="15.75" customHeight="1">
      <c r="B211" s="136">
        <f t="shared" si="19"/>
        <v>17</v>
      </c>
      <c r="C211" s="19" t="s">
        <v>822</v>
      </c>
      <c r="D211" s="19">
        <v>101042</v>
      </c>
      <c r="E211" s="31" t="s">
        <v>823</v>
      </c>
      <c r="F211" s="18">
        <v>105</v>
      </c>
      <c r="G211" s="53">
        <v>100</v>
      </c>
      <c r="H211" s="54">
        <v>5</v>
      </c>
      <c r="I211" s="43"/>
      <c r="J211" s="18">
        <f t="shared" si="22"/>
        <v>105</v>
      </c>
      <c r="K211" s="77"/>
      <c r="L211" s="33">
        <f t="shared" si="20"/>
        <v>0</v>
      </c>
      <c r="M211" s="37"/>
    </row>
    <row r="212" spans="1:15">
      <c r="B212" s="136">
        <f t="shared" si="19"/>
        <v>18</v>
      </c>
      <c r="C212" s="19" t="s">
        <v>824</v>
      </c>
      <c r="D212" s="19">
        <v>101693</v>
      </c>
      <c r="E212" s="118" t="s">
        <v>825</v>
      </c>
      <c r="F212" s="18">
        <v>188.76</v>
      </c>
      <c r="G212" s="53">
        <v>100</v>
      </c>
      <c r="H212" s="54">
        <v>5.28</v>
      </c>
      <c r="I212" s="43">
        <v>83.48</v>
      </c>
      <c r="J212" s="18">
        <f>SUM(G212:I212)</f>
        <v>188.76</v>
      </c>
      <c r="K212" s="77"/>
      <c r="L212" s="33">
        <f t="shared" ref="L212:L218" si="23">+(F212-((SUM(J212+K212))))</f>
        <v>0</v>
      </c>
      <c r="M212" s="37"/>
    </row>
    <row r="213" spans="1:15">
      <c r="B213" s="136">
        <f t="shared" si="19"/>
        <v>19</v>
      </c>
      <c r="C213" s="12" t="s">
        <v>826</v>
      </c>
      <c r="D213" s="19">
        <v>101693</v>
      </c>
      <c r="E213" s="118" t="s">
        <v>827</v>
      </c>
      <c r="F213" s="14">
        <v>105</v>
      </c>
      <c r="G213" s="15">
        <v>100</v>
      </c>
      <c r="H213" s="16">
        <v>5</v>
      </c>
      <c r="I213" s="18"/>
      <c r="J213" s="18">
        <f>SUM(G213+H213+I213)</f>
        <v>105</v>
      </c>
      <c r="K213" s="32"/>
      <c r="L213" s="33">
        <f t="shared" si="23"/>
        <v>0</v>
      </c>
      <c r="M213" s="38"/>
    </row>
    <row r="214" spans="1:15">
      <c r="B214" s="136">
        <f t="shared" si="19"/>
        <v>20</v>
      </c>
      <c r="C214" s="19" t="s">
        <v>828</v>
      </c>
      <c r="D214" s="19">
        <v>101094</v>
      </c>
      <c r="E214" s="118" t="s">
        <v>829</v>
      </c>
      <c r="F214" s="18">
        <v>187.46</v>
      </c>
      <c r="G214" s="53">
        <v>100</v>
      </c>
      <c r="H214" s="54">
        <v>6.08</v>
      </c>
      <c r="I214" s="43">
        <v>81.38</v>
      </c>
      <c r="J214" s="18">
        <f>SUM(G214:I214)</f>
        <v>187.45999999999998</v>
      </c>
      <c r="K214" s="141"/>
      <c r="L214" s="33">
        <f t="shared" si="23"/>
        <v>2.8421709430404007E-14</v>
      </c>
      <c r="M214" s="37"/>
    </row>
    <row r="215" spans="1:15">
      <c r="B215" s="136">
        <f t="shared" si="19"/>
        <v>21</v>
      </c>
      <c r="C215" s="30" t="s">
        <v>830</v>
      </c>
      <c r="D215" s="19">
        <v>101027</v>
      </c>
      <c r="E215" s="50" t="s">
        <v>290</v>
      </c>
      <c r="F215" s="25">
        <v>248.93</v>
      </c>
      <c r="G215" s="74">
        <v>100</v>
      </c>
      <c r="H215" s="75">
        <v>5.33</v>
      </c>
      <c r="I215" s="43">
        <v>118.28</v>
      </c>
      <c r="J215" s="25">
        <f>SUM(G215:I215)</f>
        <v>223.61</v>
      </c>
      <c r="K215" s="77">
        <v>25.32</v>
      </c>
      <c r="L215" s="33">
        <f t="shared" si="23"/>
        <v>0</v>
      </c>
      <c r="M215" s="37" t="s">
        <v>504</v>
      </c>
    </row>
    <row r="216" spans="1:15">
      <c r="B216" s="136">
        <f t="shared" si="19"/>
        <v>22</v>
      </c>
      <c r="C216" s="145" t="s">
        <v>831</v>
      </c>
      <c r="D216" s="19">
        <v>101692</v>
      </c>
      <c r="E216" s="123" t="s">
        <v>210</v>
      </c>
      <c r="F216" s="46">
        <v>183.87</v>
      </c>
      <c r="G216" s="48">
        <v>100</v>
      </c>
      <c r="H216" s="49">
        <v>5.33</v>
      </c>
      <c r="I216" s="46">
        <v>78.540000000000006</v>
      </c>
      <c r="J216" s="46">
        <f>SUM(G216+H216+I216)</f>
        <v>183.87</v>
      </c>
      <c r="K216" s="146"/>
      <c r="L216" s="47">
        <f t="shared" si="23"/>
        <v>0</v>
      </c>
      <c r="M216" s="149"/>
    </row>
    <row r="217" spans="1:15">
      <c r="B217" s="136">
        <f t="shared" si="19"/>
        <v>23</v>
      </c>
      <c r="C217" s="19" t="s">
        <v>832</v>
      </c>
      <c r="D217" s="19">
        <v>101719</v>
      </c>
      <c r="E217" s="31" t="s">
        <v>833</v>
      </c>
      <c r="F217" s="18">
        <v>158.56</v>
      </c>
      <c r="G217" s="15">
        <v>125</v>
      </c>
      <c r="H217" s="16">
        <v>6.46</v>
      </c>
      <c r="I217" s="18">
        <v>27.1</v>
      </c>
      <c r="J217" s="18">
        <f>SUM(G217+H217+I217)</f>
        <v>158.56</v>
      </c>
      <c r="K217" s="32"/>
      <c r="L217" s="33">
        <f t="shared" si="23"/>
        <v>0</v>
      </c>
      <c r="M217" s="37"/>
    </row>
    <row r="218" spans="1:15">
      <c r="B218" s="136">
        <f t="shared" si="19"/>
        <v>24</v>
      </c>
      <c r="C218" s="69" t="s">
        <v>834</v>
      </c>
      <c r="D218" s="19">
        <v>101082</v>
      </c>
      <c r="E218" s="127" t="s">
        <v>280</v>
      </c>
      <c r="F218" s="44">
        <v>155.91</v>
      </c>
      <c r="G218" s="70">
        <v>100</v>
      </c>
      <c r="H218" s="71">
        <v>5.53</v>
      </c>
      <c r="I218" s="148">
        <v>50.38</v>
      </c>
      <c r="J218" s="44">
        <f>SUM(G218:I218)</f>
        <v>155.91</v>
      </c>
      <c r="K218" s="73"/>
      <c r="L218" s="45">
        <f t="shared" si="23"/>
        <v>0</v>
      </c>
      <c r="M218" s="149"/>
      <c r="N218" s="40"/>
    </row>
    <row r="219" spans="1:15">
      <c r="B219" s="136">
        <f t="shared" si="19"/>
        <v>25</v>
      </c>
      <c r="C219" s="19" t="s">
        <v>835</v>
      </c>
      <c r="D219" s="19">
        <v>101033</v>
      </c>
      <c r="E219" s="31" t="s">
        <v>301</v>
      </c>
      <c r="F219" s="18">
        <v>105</v>
      </c>
      <c r="G219" s="53">
        <v>100</v>
      </c>
      <c r="H219" s="54">
        <v>5</v>
      </c>
      <c r="I219" s="43"/>
      <c r="J219" s="18">
        <f t="shared" si="22"/>
        <v>105</v>
      </c>
      <c r="K219" s="32"/>
      <c r="L219" s="33">
        <f t="shared" si="20"/>
        <v>0</v>
      </c>
      <c r="M219" s="37"/>
    </row>
    <row r="220" spans="1:15" s="4" customFormat="1" ht="15" customHeight="1">
      <c r="A220" s="6"/>
      <c r="B220" s="136">
        <f t="shared" si="19"/>
        <v>26</v>
      </c>
      <c r="C220" s="19" t="s">
        <v>836</v>
      </c>
      <c r="D220" s="19">
        <v>101734</v>
      </c>
      <c r="E220" s="118" t="s">
        <v>381</v>
      </c>
      <c r="F220" s="18">
        <v>201.21</v>
      </c>
      <c r="G220" s="20">
        <v>150</v>
      </c>
      <c r="H220" s="21">
        <v>9.1</v>
      </c>
      <c r="I220" s="18">
        <v>42.11</v>
      </c>
      <c r="J220" s="18">
        <f>SUM(G220:I220)</f>
        <v>201.20999999999998</v>
      </c>
      <c r="K220" s="32"/>
      <c r="L220" s="33">
        <f>+(F220-((SUM(J220+K220))))</f>
        <v>2.8421709430404007E-14</v>
      </c>
      <c r="M220" s="37"/>
      <c r="N220" s="6"/>
    </row>
    <row r="221" spans="1:15" ht="15.75" customHeight="1">
      <c r="B221" s="136">
        <f t="shared" si="19"/>
        <v>27</v>
      </c>
      <c r="C221" s="132" t="s">
        <v>837</v>
      </c>
      <c r="D221" s="197">
        <v>101911</v>
      </c>
      <c r="E221" s="31" t="s">
        <v>838</v>
      </c>
      <c r="F221" s="18">
        <v>75.39</v>
      </c>
      <c r="G221" s="130">
        <v>50</v>
      </c>
      <c r="H221" s="131">
        <v>3.59</v>
      </c>
      <c r="I221" s="18">
        <v>21.8</v>
      </c>
      <c r="J221" s="18">
        <f>SUM(G221+H221+I221)</f>
        <v>75.39</v>
      </c>
      <c r="K221" s="32"/>
      <c r="L221" s="33">
        <f>+(F221-((SUM(J221+K221))))</f>
        <v>0</v>
      </c>
      <c r="M221" s="37"/>
      <c r="N221" s="40"/>
    </row>
    <row r="222" spans="1:15">
      <c r="B222" s="136">
        <f t="shared" si="19"/>
        <v>28</v>
      </c>
      <c r="C222" s="19" t="s">
        <v>839</v>
      </c>
      <c r="D222" s="19">
        <v>101729</v>
      </c>
      <c r="E222" s="118" t="s">
        <v>840</v>
      </c>
      <c r="F222" s="18">
        <v>163.26</v>
      </c>
      <c r="G222" s="20">
        <v>100</v>
      </c>
      <c r="H222" s="21">
        <v>5.3</v>
      </c>
      <c r="I222" s="18">
        <v>57.96</v>
      </c>
      <c r="J222" s="18">
        <f>SUM(G222:I222)</f>
        <v>163.26</v>
      </c>
      <c r="K222" s="32"/>
      <c r="L222" s="33">
        <f>+(F222-((SUM(J222+K222))))</f>
        <v>0</v>
      </c>
      <c r="M222" s="37"/>
      <c r="N222" s="58"/>
    </row>
    <row r="223" spans="1:15">
      <c r="B223" s="136">
        <f t="shared" si="19"/>
        <v>29</v>
      </c>
      <c r="C223" s="19" t="s">
        <v>841</v>
      </c>
      <c r="D223" s="19">
        <v>101275</v>
      </c>
      <c r="E223" s="31" t="s">
        <v>842</v>
      </c>
      <c r="F223" s="18">
        <v>116.52</v>
      </c>
      <c r="G223" s="53">
        <v>100</v>
      </c>
      <c r="H223" s="54">
        <v>5.55</v>
      </c>
      <c r="I223" s="43">
        <v>10.97</v>
      </c>
      <c r="J223" s="18">
        <f t="shared" si="22"/>
        <v>116.52</v>
      </c>
      <c r="K223" s="61"/>
      <c r="L223" s="33">
        <f t="shared" si="20"/>
        <v>0</v>
      </c>
      <c r="M223" s="37"/>
      <c r="N223" s="59" t="s">
        <v>525</v>
      </c>
    </row>
    <row r="224" spans="1:15" ht="15.75" customHeight="1">
      <c r="B224" s="136">
        <f t="shared" si="19"/>
        <v>30</v>
      </c>
      <c r="C224" s="132" t="s">
        <v>843</v>
      </c>
      <c r="D224" s="197">
        <v>105048</v>
      </c>
      <c r="E224" s="31" t="s">
        <v>844</v>
      </c>
      <c r="F224" s="18">
        <v>101.31</v>
      </c>
      <c r="G224" s="130">
        <v>50</v>
      </c>
      <c r="H224" s="131">
        <v>3.55</v>
      </c>
      <c r="I224" s="18">
        <v>47.76</v>
      </c>
      <c r="J224" s="18">
        <f>SUM(G224+H224+I224)</f>
        <v>101.31</v>
      </c>
      <c r="K224" s="32"/>
      <c r="L224" s="33">
        <f>+(F224-((SUM(J224+K224))))</f>
        <v>0</v>
      </c>
      <c r="M224" s="37"/>
      <c r="N224" s="60" t="s">
        <v>79</v>
      </c>
      <c r="O224" s="60"/>
    </row>
    <row r="225" spans="2:14" ht="16.5" customHeight="1">
      <c r="B225" s="136">
        <f t="shared" si="19"/>
        <v>31</v>
      </c>
      <c r="C225" s="19" t="s">
        <v>44</v>
      </c>
      <c r="D225" s="19">
        <v>101743</v>
      </c>
      <c r="E225" s="31" t="s">
        <v>845</v>
      </c>
      <c r="F225" s="18">
        <v>253.42</v>
      </c>
      <c r="G225" s="53">
        <v>125</v>
      </c>
      <c r="H225" s="54">
        <v>10.3</v>
      </c>
      <c r="I225" s="18">
        <v>118.12</v>
      </c>
      <c r="J225" s="18">
        <f>SUM(G225:I225)</f>
        <v>253.42000000000002</v>
      </c>
      <c r="K225" s="32"/>
      <c r="L225" s="33">
        <f>+(F225-((SUM(J225+K225))))</f>
        <v>-2.8421709430404007E-14</v>
      </c>
      <c r="M225" s="37"/>
      <c r="N225" s="40"/>
    </row>
    <row r="226" spans="2:14">
      <c r="B226" s="136">
        <f t="shared" si="19"/>
        <v>32</v>
      </c>
      <c r="C226" s="19" t="s">
        <v>846</v>
      </c>
      <c r="D226" s="19">
        <v>101572</v>
      </c>
      <c r="E226" s="31" t="s">
        <v>335</v>
      </c>
      <c r="F226" s="18">
        <v>105</v>
      </c>
      <c r="G226" s="15">
        <v>100</v>
      </c>
      <c r="H226" s="16">
        <v>5</v>
      </c>
      <c r="I226" s="78"/>
      <c r="J226" s="18">
        <f t="shared" si="22"/>
        <v>105</v>
      </c>
      <c r="K226" s="32"/>
      <c r="L226" s="33">
        <f t="shared" si="20"/>
        <v>0</v>
      </c>
      <c r="M226" s="37"/>
      <c r="N226" s="40"/>
    </row>
    <row r="227" spans="2:14">
      <c r="B227" s="136">
        <f t="shared" si="19"/>
        <v>33</v>
      </c>
      <c r="C227" s="30" t="s">
        <v>847</v>
      </c>
      <c r="D227" s="19">
        <v>101106</v>
      </c>
      <c r="E227" s="84" t="s">
        <v>337</v>
      </c>
      <c r="F227" s="25">
        <v>131.94</v>
      </c>
      <c r="G227" s="15">
        <v>100</v>
      </c>
      <c r="H227" s="16">
        <v>6.29</v>
      </c>
      <c r="I227" s="43"/>
      <c r="J227" s="25">
        <f t="shared" si="22"/>
        <v>106.29</v>
      </c>
      <c r="K227" s="35">
        <v>25.65</v>
      </c>
      <c r="L227" s="36">
        <f t="shared" si="20"/>
        <v>0</v>
      </c>
      <c r="M227" s="37" t="s">
        <v>504</v>
      </c>
      <c r="N227" s="40"/>
    </row>
    <row r="228" spans="2:14">
      <c r="B228" s="136">
        <f t="shared" si="19"/>
        <v>34</v>
      </c>
      <c r="C228" s="19" t="s">
        <v>848</v>
      </c>
      <c r="D228" s="19">
        <v>101700</v>
      </c>
      <c r="E228" s="31" t="s">
        <v>339</v>
      </c>
      <c r="F228" s="18">
        <v>119.73</v>
      </c>
      <c r="G228" s="15">
        <v>100</v>
      </c>
      <c r="H228" s="16">
        <v>5.7</v>
      </c>
      <c r="I228" s="43"/>
      <c r="J228" s="18">
        <f t="shared" si="22"/>
        <v>105.7</v>
      </c>
      <c r="K228" s="32">
        <v>14.03</v>
      </c>
      <c r="L228" s="33">
        <f t="shared" si="20"/>
        <v>0</v>
      </c>
      <c r="M228" s="37" t="s">
        <v>504</v>
      </c>
      <c r="N228" s="40"/>
    </row>
    <row r="229" spans="2:14">
      <c r="B229" s="136">
        <f t="shared" si="19"/>
        <v>35</v>
      </c>
      <c r="C229" s="19" t="s">
        <v>849</v>
      </c>
      <c r="D229" s="19">
        <v>101319</v>
      </c>
      <c r="E229" s="31" t="s">
        <v>113</v>
      </c>
      <c r="F229" s="18">
        <v>52.5</v>
      </c>
      <c r="G229" s="15">
        <v>50</v>
      </c>
      <c r="H229" s="16">
        <v>2.5</v>
      </c>
      <c r="I229" s="18"/>
      <c r="J229" s="18">
        <f t="shared" si="22"/>
        <v>52.5</v>
      </c>
      <c r="K229" s="32"/>
      <c r="L229" s="33">
        <f t="shared" si="20"/>
        <v>0</v>
      </c>
      <c r="M229" s="37"/>
      <c r="N229" s="195"/>
    </row>
    <row r="230" spans="2:14" ht="15" customHeight="1">
      <c r="B230" s="136">
        <f t="shared" si="19"/>
        <v>36</v>
      </c>
      <c r="C230" s="19" t="s">
        <v>850</v>
      </c>
      <c r="D230" s="19">
        <v>101730</v>
      </c>
      <c r="E230" s="118" t="s">
        <v>851</v>
      </c>
      <c r="F230" s="18">
        <v>52.5</v>
      </c>
      <c r="G230" s="20">
        <v>50</v>
      </c>
      <c r="H230" s="21">
        <v>2.5</v>
      </c>
      <c r="I230" s="62"/>
      <c r="J230" s="18">
        <f t="shared" si="22"/>
        <v>52.5</v>
      </c>
      <c r="K230" s="32"/>
      <c r="L230" s="33">
        <f t="shared" si="20"/>
        <v>0</v>
      </c>
      <c r="M230" s="37"/>
      <c r="N230" s="194"/>
    </row>
    <row r="231" spans="2:14">
      <c r="B231" s="136">
        <f t="shared" si="19"/>
        <v>37</v>
      </c>
      <c r="C231" s="19" t="s">
        <v>852</v>
      </c>
      <c r="D231" s="19">
        <v>101724</v>
      </c>
      <c r="E231" s="118" t="s">
        <v>853</v>
      </c>
      <c r="F231" s="18">
        <v>131.38</v>
      </c>
      <c r="G231" s="20">
        <v>100</v>
      </c>
      <c r="H231" s="21">
        <v>5.12</v>
      </c>
      <c r="I231" s="79">
        <v>26.26</v>
      </c>
      <c r="J231" s="18">
        <f t="shared" si="22"/>
        <v>131.38</v>
      </c>
      <c r="K231" s="32"/>
      <c r="L231" s="33">
        <f t="shared" si="20"/>
        <v>0</v>
      </c>
      <c r="M231" s="37"/>
      <c r="N231" s="6" t="s">
        <v>539</v>
      </c>
    </row>
    <row r="232" spans="2:14">
      <c r="B232" s="136">
        <f t="shared" si="19"/>
        <v>38</v>
      </c>
      <c r="C232" s="19" t="s">
        <v>854</v>
      </c>
      <c r="D232" s="19">
        <v>101725</v>
      </c>
      <c r="E232" s="118" t="s">
        <v>855</v>
      </c>
      <c r="F232" s="18">
        <v>182.69</v>
      </c>
      <c r="G232" s="20">
        <v>100</v>
      </c>
      <c r="H232" s="21">
        <v>8.52</v>
      </c>
      <c r="I232" s="18">
        <v>74.17</v>
      </c>
      <c r="J232" s="18">
        <f t="shared" si="22"/>
        <v>182.69</v>
      </c>
      <c r="K232" s="32"/>
      <c r="L232" s="33">
        <f t="shared" si="20"/>
        <v>0</v>
      </c>
      <c r="M232" s="37"/>
      <c r="N232" s="6" t="s">
        <v>542</v>
      </c>
    </row>
    <row r="233" spans="2:14">
      <c r="B233" s="136">
        <f t="shared" si="19"/>
        <v>39</v>
      </c>
      <c r="C233" s="19" t="s">
        <v>856</v>
      </c>
      <c r="D233" s="19">
        <v>101723</v>
      </c>
      <c r="E233" s="118" t="s">
        <v>857</v>
      </c>
      <c r="F233" s="18">
        <v>207.95</v>
      </c>
      <c r="G233" s="20">
        <v>100</v>
      </c>
      <c r="H233" s="21">
        <v>6.57</v>
      </c>
      <c r="I233" s="18">
        <v>101.38</v>
      </c>
      <c r="J233" s="18">
        <f t="shared" si="22"/>
        <v>207.95</v>
      </c>
      <c r="K233" s="32"/>
      <c r="L233" s="33">
        <f t="shared" si="20"/>
        <v>0</v>
      </c>
      <c r="M233" s="37"/>
      <c r="N233" s="40"/>
    </row>
    <row r="234" spans="2:14" ht="15" customHeight="1">
      <c r="B234" s="136">
        <f t="shared" si="19"/>
        <v>40</v>
      </c>
      <c r="C234" s="30" t="s">
        <v>11</v>
      </c>
      <c r="D234" s="19">
        <v>101084</v>
      </c>
      <c r="E234" s="50" t="s">
        <v>858</v>
      </c>
      <c r="F234" s="25">
        <v>52.5</v>
      </c>
      <c r="G234" s="26">
        <v>50</v>
      </c>
      <c r="H234" s="27">
        <v>2.5</v>
      </c>
      <c r="I234" s="80"/>
      <c r="J234" s="25">
        <f t="shared" si="22"/>
        <v>52.5</v>
      </c>
      <c r="K234" s="35"/>
      <c r="L234" s="36">
        <f t="shared" si="20"/>
        <v>0</v>
      </c>
      <c r="M234" s="37"/>
      <c r="N234" s="40"/>
    </row>
    <row r="235" spans="2:14" ht="15.75" customHeight="1">
      <c r="B235" s="136">
        <f t="shared" si="19"/>
        <v>41</v>
      </c>
      <c r="C235" s="19" t="s">
        <v>47</v>
      </c>
      <c r="D235" s="19">
        <v>101883</v>
      </c>
      <c r="E235" s="31" t="s">
        <v>859</v>
      </c>
      <c r="F235" s="18">
        <v>52.5</v>
      </c>
      <c r="G235" s="53">
        <v>50</v>
      </c>
      <c r="H235" s="54">
        <v>2.5</v>
      </c>
      <c r="I235" s="18"/>
      <c r="J235" s="18">
        <f t="shared" si="22"/>
        <v>52.5</v>
      </c>
      <c r="K235" s="32"/>
      <c r="L235" s="33">
        <f t="shared" si="20"/>
        <v>0</v>
      </c>
      <c r="M235" s="37"/>
      <c r="N235" s="40"/>
    </row>
    <row r="236" spans="2:14" ht="15.75" customHeight="1">
      <c r="B236" s="136">
        <f t="shared" si="19"/>
        <v>42</v>
      </c>
      <c r="C236" s="19" t="s">
        <v>54</v>
      </c>
      <c r="D236" s="19">
        <v>101740</v>
      </c>
      <c r="E236" s="31" t="s">
        <v>56</v>
      </c>
      <c r="F236" s="18">
        <v>358.15</v>
      </c>
      <c r="G236" s="53">
        <v>100</v>
      </c>
      <c r="H236" s="54">
        <v>6.4</v>
      </c>
      <c r="I236" s="18">
        <v>242.75</v>
      </c>
      <c r="J236" s="18">
        <f>SUM(G236:I236)</f>
        <v>349.15</v>
      </c>
      <c r="K236" s="32">
        <v>9</v>
      </c>
      <c r="L236" s="33">
        <f t="shared" si="20"/>
        <v>0</v>
      </c>
      <c r="M236" s="37" t="s">
        <v>504</v>
      </c>
      <c r="N236" s="40"/>
    </row>
    <row r="237" spans="2:14" ht="15" customHeight="1">
      <c r="B237" s="136">
        <f t="shared" si="19"/>
        <v>43</v>
      </c>
      <c r="C237" s="19" t="s">
        <v>17</v>
      </c>
      <c r="D237" s="19">
        <v>101713</v>
      </c>
      <c r="E237" s="125" t="s">
        <v>860</v>
      </c>
      <c r="F237" s="18">
        <v>93.09</v>
      </c>
      <c r="G237" s="20">
        <v>50</v>
      </c>
      <c r="H237" s="21">
        <v>4.4400000000000004</v>
      </c>
      <c r="I237" s="18">
        <v>38.65</v>
      </c>
      <c r="J237" s="18">
        <f t="shared" si="22"/>
        <v>93.09</v>
      </c>
      <c r="K237" s="32"/>
      <c r="L237" s="33">
        <f t="shared" si="20"/>
        <v>0</v>
      </c>
      <c r="M237" s="37"/>
      <c r="N237" s="195"/>
    </row>
    <row r="238" spans="2:14" ht="15" customHeight="1">
      <c r="B238" s="136">
        <f t="shared" si="19"/>
        <v>44</v>
      </c>
      <c r="C238" s="19" t="s">
        <v>23</v>
      </c>
      <c r="D238" s="19">
        <v>101021</v>
      </c>
      <c r="E238" s="125" t="s">
        <v>861</v>
      </c>
      <c r="F238" s="18">
        <v>97.82</v>
      </c>
      <c r="G238" s="20">
        <v>50</v>
      </c>
      <c r="H238" s="21">
        <v>2.5</v>
      </c>
      <c r="I238" s="18">
        <v>45.32</v>
      </c>
      <c r="J238" s="18">
        <f t="shared" si="22"/>
        <v>97.82</v>
      </c>
      <c r="K238" s="32"/>
      <c r="L238" s="33">
        <f t="shared" si="20"/>
        <v>0</v>
      </c>
      <c r="M238" s="37"/>
      <c r="N238" s="194"/>
    </row>
    <row r="239" spans="2:14" ht="15" customHeight="1">
      <c r="B239" s="136">
        <f t="shared" si="19"/>
        <v>45</v>
      </c>
      <c r="C239" s="19" t="s">
        <v>26</v>
      </c>
      <c r="D239" s="19">
        <v>101024</v>
      </c>
      <c r="E239" s="125" t="s">
        <v>862</v>
      </c>
      <c r="F239" s="18">
        <v>52.5</v>
      </c>
      <c r="G239" s="20">
        <v>50</v>
      </c>
      <c r="H239" s="21">
        <v>2.5</v>
      </c>
      <c r="I239" s="18"/>
      <c r="J239" s="18">
        <f t="shared" si="22"/>
        <v>52.5</v>
      </c>
      <c r="K239" s="32"/>
      <c r="L239" s="33">
        <f t="shared" si="20"/>
        <v>0</v>
      </c>
      <c r="M239" s="37"/>
      <c r="N239" s="6" t="s">
        <v>557</v>
      </c>
    </row>
    <row r="240" spans="2:14" ht="15" customHeight="1">
      <c r="B240" s="136">
        <f t="shared" si="19"/>
        <v>46</v>
      </c>
      <c r="C240" s="19" t="s">
        <v>32</v>
      </c>
      <c r="D240" s="19">
        <v>101068</v>
      </c>
      <c r="E240" s="125" t="s">
        <v>863</v>
      </c>
      <c r="F240" s="18">
        <v>52.5</v>
      </c>
      <c r="G240" s="20">
        <v>50</v>
      </c>
      <c r="H240" s="21">
        <v>2.5</v>
      </c>
      <c r="I240" s="18"/>
      <c r="J240" s="18">
        <f t="shared" si="22"/>
        <v>52.5</v>
      </c>
      <c r="K240" s="32"/>
      <c r="L240" s="33">
        <f t="shared" si="20"/>
        <v>0</v>
      </c>
      <c r="M240" s="37"/>
      <c r="N240" s="6" t="s">
        <v>559</v>
      </c>
    </row>
    <row r="241" spans="2:14" ht="15.75" customHeight="1">
      <c r="B241" s="136">
        <f t="shared" si="19"/>
        <v>47</v>
      </c>
      <c r="C241" s="19" t="s">
        <v>69</v>
      </c>
      <c r="D241" s="19">
        <v>101749</v>
      </c>
      <c r="E241" s="125" t="s">
        <v>864</v>
      </c>
      <c r="F241" s="18">
        <v>241.27</v>
      </c>
      <c r="G241" s="53">
        <v>100</v>
      </c>
      <c r="H241" s="54">
        <v>10.89</v>
      </c>
      <c r="I241" s="18">
        <v>130.38</v>
      </c>
      <c r="J241" s="18">
        <f t="shared" si="22"/>
        <v>241.26999999999998</v>
      </c>
      <c r="K241" s="32"/>
      <c r="L241" s="33">
        <f t="shared" si="20"/>
        <v>2.8421709430404007E-14</v>
      </c>
      <c r="M241" s="37"/>
    </row>
    <row r="242" spans="2:14" ht="15.75" customHeight="1">
      <c r="B242" s="136">
        <f t="shared" si="19"/>
        <v>48</v>
      </c>
      <c r="C242" s="19" t="s">
        <v>71</v>
      </c>
      <c r="D242" s="19">
        <v>101750</v>
      </c>
      <c r="E242" s="125" t="s">
        <v>865</v>
      </c>
      <c r="F242" s="18">
        <v>112.12</v>
      </c>
      <c r="G242" s="53">
        <v>100</v>
      </c>
      <c r="H242" s="54">
        <v>5.0599999999999996</v>
      </c>
      <c r="I242" s="18">
        <v>7.06</v>
      </c>
      <c r="J242" s="18">
        <f t="shared" si="22"/>
        <v>112.12</v>
      </c>
      <c r="K242" s="32"/>
      <c r="L242" s="33">
        <f t="shared" si="20"/>
        <v>0</v>
      </c>
      <c r="M242" s="37"/>
    </row>
    <row r="243" spans="2:14" ht="15.75" customHeight="1">
      <c r="B243" s="136">
        <f t="shared" si="19"/>
        <v>49</v>
      </c>
      <c r="C243" s="19" t="s">
        <v>866</v>
      </c>
      <c r="D243" s="19">
        <v>101763</v>
      </c>
      <c r="E243" s="31" t="s">
        <v>867</v>
      </c>
      <c r="F243" s="18">
        <v>105</v>
      </c>
      <c r="G243" s="53">
        <v>100</v>
      </c>
      <c r="H243" s="54">
        <v>5</v>
      </c>
      <c r="I243" s="18"/>
      <c r="J243" s="18">
        <f t="shared" si="22"/>
        <v>105</v>
      </c>
      <c r="K243" s="32"/>
      <c r="L243" s="33">
        <f t="shared" si="20"/>
        <v>0</v>
      </c>
      <c r="M243" s="37"/>
      <c r="N243" s="40"/>
    </row>
    <row r="244" spans="2:14" ht="15.75" customHeight="1">
      <c r="B244" s="136">
        <f t="shared" si="19"/>
        <v>50</v>
      </c>
      <c r="C244" s="19" t="s">
        <v>868</v>
      </c>
      <c r="D244" s="19">
        <v>101843</v>
      </c>
      <c r="E244" s="31" t="s">
        <v>869</v>
      </c>
      <c r="F244" s="18">
        <v>52.5</v>
      </c>
      <c r="G244" s="53">
        <v>50</v>
      </c>
      <c r="H244" s="54">
        <v>2.5</v>
      </c>
      <c r="I244" s="18"/>
      <c r="J244" s="18">
        <f t="shared" si="22"/>
        <v>52.5</v>
      </c>
      <c r="K244" s="32"/>
      <c r="L244" s="33">
        <f t="shared" si="20"/>
        <v>0</v>
      </c>
      <c r="M244" s="37"/>
    </row>
    <row r="245" spans="2:14" ht="15.75" customHeight="1">
      <c r="B245" s="136">
        <f t="shared" si="19"/>
        <v>51</v>
      </c>
      <c r="C245" s="19" t="s">
        <v>870</v>
      </c>
      <c r="D245" s="19">
        <v>101771</v>
      </c>
      <c r="E245" s="31" t="s">
        <v>871</v>
      </c>
      <c r="F245" s="18">
        <v>105</v>
      </c>
      <c r="G245" s="53">
        <v>100</v>
      </c>
      <c r="H245" s="54">
        <v>5</v>
      </c>
      <c r="I245" s="18"/>
      <c r="J245" s="18">
        <f t="shared" si="22"/>
        <v>105</v>
      </c>
      <c r="K245" s="32"/>
      <c r="L245" s="33">
        <f t="shared" si="20"/>
        <v>0</v>
      </c>
      <c r="M245" s="37"/>
    </row>
    <row r="246" spans="2:14" ht="15.75" customHeight="1">
      <c r="B246" s="136">
        <f t="shared" si="19"/>
        <v>52</v>
      </c>
      <c r="C246" s="19" t="s">
        <v>872</v>
      </c>
      <c r="D246" s="19">
        <v>101772</v>
      </c>
      <c r="E246" s="31" t="s">
        <v>873</v>
      </c>
      <c r="F246" s="18">
        <v>109.75</v>
      </c>
      <c r="G246" s="53">
        <v>100</v>
      </c>
      <c r="H246" s="54">
        <v>5.23</v>
      </c>
      <c r="I246" s="18">
        <v>4.5199999999999996</v>
      </c>
      <c r="J246" s="18">
        <f t="shared" si="22"/>
        <v>109.75</v>
      </c>
      <c r="K246" s="32"/>
      <c r="L246" s="33">
        <f t="shared" si="20"/>
        <v>0</v>
      </c>
      <c r="M246" s="37"/>
      <c r="N246" s="60"/>
    </row>
    <row r="247" spans="2:14" ht="15.75" customHeight="1">
      <c r="B247" s="136">
        <f t="shared" si="19"/>
        <v>53</v>
      </c>
      <c r="C247" s="19" t="s">
        <v>874</v>
      </c>
      <c r="D247" s="19">
        <v>101817</v>
      </c>
      <c r="E247" s="117" t="s">
        <v>875</v>
      </c>
      <c r="F247" s="18">
        <v>53.14</v>
      </c>
      <c r="G247" s="53">
        <v>50</v>
      </c>
      <c r="H247" s="54">
        <v>2.5</v>
      </c>
      <c r="I247" s="18">
        <v>0.64</v>
      </c>
      <c r="J247" s="18">
        <f t="shared" si="22"/>
        <v>53.14</v>
      </c>
      <c r="K247" s="32"/>
      <c r="L247" s="33">
        <f t="shared" si="20"/>
        <v>0</v>
      </c>
      <c r="M247" s="37"/>
    </row>
    <row r="248" spans="2:14">
      <c r="B248" s="136">
        <f t="shared" si="19"/>
        <v>54</v>
      </c>
      <c r="C248" s="19" t="s">
        <v>876</v>
      </c>
      <c r="D248" s="19">
        <v>101816</v>
      </c>
      <c r="E248" s="31" t="s">
        <v>877</v>
      </c>
      <c r="F248" s="18">
        <v>105</v>
      </c>
      <c r="G248" s="15">
        <v>100</v>
      </c>
      <c r="H248" s="54">
        <v>5</v>
      </c>
      <c r="I248" s="18"/>
      <c r="J248" s="18">
        <f t="shared" si="22"/>
        <v>105</v>
      </c>
      <c r="K248" s="32"/>
      <c r="L248" s="33">
        <f t="shared" si="20"/>
        <v>0</v>
      </c>
      <c r="M248" s="37"/>
    </row>
    <row r="249" spans="2:14" ht="18" customHeight="1">
      <c r="B249" s="136">
        <f t="shared" si="19"/>
        <v>55</v>
      </c>
      <c r="C249" s="19" t="s">
        <v>878</v>
      </c>
      <c r="D249" s="19">
        <v>101807</v>
      </c>
      <c r="E249" s="31" t="s">
        <v>879</v>
      </c>
      <c r="F249" s="18">
        <v>229.01</v>
      </c>
      <c r="G249" s="15">
        <v>100</v>
      </c>
      <c r="H249" s="54">
        <v>8.75</v>
      </c>
      <c r="I249" s="18">
        <v>120.26</v>
      </c>
      <c r="J249" s="18">
        <f t="shared" si="22"/>
        <v>229.01</v>
      </c>
      <c r="K249" s="32"/>
      <c r="L249" s="33">
        <f t="shared" si="20"/>
        <v>0</v>
      </c>
      <c r="M249" s="37"/>
    </row>
    <row r="250" spans="2:14">
      <c r="B250" s="136">
        <f t="shared" si="19"/>
        <v>56</v>
      </c>
      <c r="C250" s="19" t="s">
        <v>880</v>
      </c>
      <c r="D250" s="19">
        <v>101832</v>
      </c>
      <c r="E250" s="31" t="s">
        <v>881</v>
      </c>
      <c r="F250" s="18">
        <v>112.32</v>
      </c>
      <c r="G250" s="15">
        <v>100</v>
      </c>
      <c r="H250" s="54">
        <v>5.0199999999999996</v>
      </c>
      <c r="I250" s="18">
        <v>7.3</v>
      </c>
      <c r="J250" s="18">
        <f t="shared" si="22"/>
        <v>112.32</v>
      </c>
      <c r="K250" s="32"/>
      <c r="L250" s="33">
        <f t="shared" si="20"/>
        <v>0</v>
      </c>
      <c r="M250" s="37"/>
    </row>
    <row r="251" spans="2:14">
      <c r="B251" s="136">
        <f t="shared" si="19"/>
        <v>57</v>
      </c>
      <c r="C251" s="19" t="s">
        <v>882</v>
      </c>
      <c r="D251" s="19">
        <v>101829</v>
      </c>
      <c r="E251" s="31" t="s">
        <v>883</v>
      </c>
      <c r="F251" s="18">
        <v>52.5</v>
      </c>
      <c r="G251" s="15">
        <v>50</v>
      </c>
      <c r="H251" s="54">
        <v>2.5</v>
      </c>
      <c r="I251" s="18"/>
      <c r="J251" s="18">
        <f t="shared" si="22"/>
        <v>52.5</v>
      </c>
      <c r="K251" s="32"/>
      <c r="L251" s="33">
        <f t="shared" si="20"/>
        <v>0</v>
      </c>
      <c r="M251" s="37"/>
    </row>
    <row r="252" spans="2:14">
      <c r="B252" s="136">
        <f t="shared" si="19"/>
        <v>58</v>
      </c>
      <c r="C252" s="116" t="s">
        <v>884</v>
      </c>
      <c r="D252" s="19"/>
      <c r="E252" s="31" t="s">
        <v>885</v>
      </c>
      <c r="F252" s="18">
        <v>313.95</v>
      </c>
      <c r="G252" s="15">
        <v>299</v>
      </c>
      <c r="H252" s="54">
        <v>14.95</v>
      </c>
      <c r="I252" s="18"/>
      <c r="J252" s="18">
        <f t="shared" si="22"/>
        <v>313.95</v>
      </c>
      <c r="K252" s="32"/>
      <c r="L252" s="33">
        <f t="shared" si="20"/>
        <v>0</v>
      </c>
      <c r="M252" s="37"/>
    </row>
    <row r="253" spans="2:14">
      <c r="B253" s="136">
        <f t="shared" si="19"/>
        <v>59</v>
      </c>
      <c r="C253" s="116" t="s">
        <v>886</v>
      </c>
      <c r="D253" s="19"/>
      <c r="E253" s="31" t="s">
        <v>887</v>
      </c>
      <c r="F253" s="14">
        <v>260.72000000000003</v>
      </c>
      <c r="G253" s="15">
        <v>200</v>
      </c>
      <c r="H253" s="54">
        <v>12.42</v>
      </c>
      <c r="I253" s="18">
        <v>48.3</v>
      </c>
      <c r="J253" s="18">
        <f t="shared" si="22"/>
        <v>260.71999999999997</v>
      </c>
      <c r="K253" s="179"/>
      <c r="L253" s="33">
        <f t="shared" si="20"/>
        <v>5.6843418860808015E-14</v>
      </c>
      <c r="M253" s="186"/>
    </row>
    <row r="254" spans="2:14">
      <c r="B254" s="136">
        <f t="shared" si="19"/>
        <v>60</v>
      </c>
      <c r="C254" s="116" t="s">
        <v>888</v>
      </c>
      <c r="D254" s="19">
        <v>101857</v>
      </c>
      <c r="E254" s="31" t="s">
        <v>889</v>
      </c>
      <c r="F254" s="18">
        <v>100.47</v>
      </c>
      <c r="G254" s="15">
        <v>50</v>
      </c>
      <c r="H254" s="54">
        <v>4.78</v>
      </c>
      <c r="I254" s="18">
        <v>45.69</v>
      </c>
      <c r="J254" s="18">
        <f t="shared" si="22"/>
        <v>100.47</v>
      </c>
      <c r="K254" s="32"/>
      <c r="L254" s="33">
        <f t="shared" si="20"/>
        <v>0</v>
      </c>
      <c r="M254" s="37"/>
    </row>
    <row r="255" spans="2:14">
      <c r="B255" s="136">
        <f t="shared" si="19"/>
        <v>61</v>
      </c>
      <c r="C255" s="116" t="s">
        <v>890</v>
      </c>
      <c r="D255" s="19">
        <v>101861</v>
      </c>
      <c r="E255" s="31" t="s">
        <v>891</v>
      </c>
      <c r="F255" s="18">
        <v>1078.72</v>
      </c>
      <c r="G255" s="15">
        <v>100</v>
      </c>
      <c r="H255" s="54">
        <v>18.829999999999998</v>
      </c>
      <c r="I255" s="18">
        <v>959.89</v>
      </c>
      <c r="J255" s="18">
        <f t="shared" si="22"/>
        <v>1078.72</v>
      </c>
      <c r="K255" s="32"/>
      <c r="L255" s="33">
        <f t="shared" si="20"/>
        <v>0</v>
      </c>
      <c r="M255" s="37"/>
    </row>
    <row r="256" spans="2:14">
      <c r="B256" s="136">
        <f t="shared" si="19"/>
        <v>62</v>
      </c>
      <c r="C256" s="116" t="s">
        <v>892</v>
      </c>
      <c r="D256" s="19">
        <v>101856</v>
      </c>
      <c r="E256" s="31" t="s">
        <v>893</v>
      </c>
      <c r="F256" s="18">
        <v>79.31</v>
      </c>
      <c r="G256" s="15">
        <v>50</v>
      </c>
      <c r="H256" s="54">
        <v>3.77</v>
      </c>
      <c r="I256" s="18">
        <v>25.54</v>
      </c>
      <c r="J256" s="18">
        <f t="shared" si="22"/>
        <v>79.31</v>
      </c>
      <c r="K256" s="32"/>
      <c r="L256" s="33">
        <f t="shared" si="20"/>
        <v>0</v>
      </c>
      <c r="M256" s="37"/>
    </row>
    <row r="257" spans="1:14">
      <c r="B257" s="136">
        <f t="shared" si="19"/>
        <v>63</v>
      </c>
      <c r="C257" s="116" t="s">
        <v>894</v>
      </c>
      <c r="D257" s="19">
        <v>101876</v>
      </c>
      <c r="E257" s="31" t="s">
        <v>895</v>
      </c>
      <c r="F257" s="18">
        <v>52.5</v>
      </c>
      <c r="G257" s="15">
        <v>50</v>
      </c>
      <c r="H257" s="54">
        <v>2.5</v>
      </c>
      <c r="I257" s="18"/>
      <c r="J257" s="18">
        <f t="shared" si="22"/>
        <v>52.5</v>
      </c>
      <c r="K257" s="32"/>
      <c r="L257" s="33">
        <f t="shared" si="20"/>
        <v>0</v>
      </c>
      <c r="M257" s="37"/>
    </row>
    <row r="258" spans="1:14">
      <c r="B258" s="136">
        <f t="shared" si="19"/>
        <v>64</v>
      </c>
      <c r="C258" s="116" t="s">
        <v>896</v>
      </c>
      <c r="D258" s="19">
        <v>101877</v>
      </c>
      <c r="E258" s="31" t="s">
        <v>897</v>
      </c>
      <c r="F258" s="18">
        <v>174.35</v>
      </c>
      <c r="G258" s="15">
        <v>50</v>
      </c>
      <c r="H258" s="54">
        <v>8.31</v>
      </c>
      <c r="I258" s="18">
        <v>56.04</v>
      </c>
      <c r="J258" s="18">
        <f t="shared" ref="J258:J270" si="24">SUM(G258:I258)</f>
        <v>114.35</v>
      </c>
      <c r="K258" s="32">
        <v>60</v>
      </c>
      <c r="L258" s="33">
        <f t="shared" si="20"/>
        <v>0</v>
      </c>
      <c r="M258" s="37" t="s">
        <v>504</v>
      </c>
    </row>
    <row r="259" spans="1:14">
      <c r="B259" s="136">
        <f t="shared" si="19"/>
        <v>65</v>
      </c>
      <c r="C259" s="116" t="s">
        <v>898</v>
      </c>
      <c r="D259" s="19">
        <v>101880</v>
      </c>
      <c r="E259" s="31" t="s">
        <v>899</v>
      </c>
      <c r="F259" s="18">
        <v>52.5</v>
      </c>
      <c r="G259" s="15">
        <v>50</v>
      </c>
      <c r="H259" s="54">
        <v>2.5</v>
      </c>
      <c r="I259" s="18"/>
      <c r="J259" s="18">
        <f t="shared" si="24"/>
        <v>52.5</v>
      </c>
      <c r="K259" s="32"/>
      <c r="L259" s="33">
        <f t="shared" ref="L259:L270" si="25">+(F259-((SUM(J259+K259))))</f>
        <v>0</v>
      </c>
      <c r="M259" s="37"/>
    </row>
    <row r="260" spans="1:14">
      <c r="B260" s="136">
        <f t="shared" si="19"/>
        <v>66</v>
      </c>
      <c r="C260" s="19" t="s">
        <v>900</v>
      </c>
      <c r="D260" s="19">
        <v>101755</v>
      </c>
      <c r="E260" s="31" t="s">
        <v>901</v>
      </c>
      <c r="F260" s="18">
        <v>56.82</v>
      </c>
      <c r="G260" s="15">
        <v>50</v>
      </c>
      <c r="H260" s="54">
        <v>2.71</v>
      </c>
      <c r="I260" s="18">
        <v>4.1100000000000003</v>
      </c>
      <c r="J260" s="18">
        <f t="shared" si="24"/>
        <v>56.82</v>
      </c>
      <c r="K260" s="32"/>
      <c r="L260" s="33">
        <f t="shared" si="25"/>
        <v>0</v>
      </c>
      <c r="M260" s="37"/>
    </row>
    <row r="261" spans="1:14">
      <c r="B261" s="136">
        <f t="shared" ref="B261:B270" si="26">1+B260</f>
        <v>67</v>
      </c>
      <c r="C261" s="19" t="s">
        <v>902</v>
      </c>
      <c r="D261" s="19">
        <v>101491</v>
      </c>
      <c r="E261" s="31" t="s">
        <v>903</v>
      </c>
      <c r="F261" s="18">
        <v>52.5</v>
      </c>
      <c r="G261" s="15">
        <v>50</v>
      </c>
      <c r="H261" s="54">
        <v>2.5</v>
      </c>
      <c r="I261" s="18"/>
      <c r="J261" s="18">
        <f t="shared" si="24"/>
        <v>52.5</v>
      </c>
      <c r="K261" s="32"/>
      <c r="L261" s="33">
        <f t="shared" si="25"/>
        <v>0</v>
      </c>
      <c r="M261" s="37"/>
    </row>
    <row r="262" spans="1:14">
      <c r="B262" s="136">
        <f t="shared" si="26"/>
        <v>68</v>
      </c>
      <c r="C262" s="19" t="s">
        <v>904</v>
      </c>
      <c r="D262" s="19">
        <v>101901</v>
      </c>
      <c r="E262" s="31" t="s">
        <v>905</v>
      </c>
      <c r="F262" s="18">
        <v>52.5</v>
      </c>
      <c r="G262" s="15">
        <v>50</v>
      </c>
      <c r="H262" s="54">
        <v>2.5</v>
      </c>
      <c r="I262" s="18"/>
      <c r="J262" s="18">
        <f t="shared" si="24"/>
        <v>52.5</v>
      </c>
      <c r="K262" s="32"/>
      <c r="L262" s="33">
        <f t="shared" si="25"/>
        <v>0</v>
      </c>
      <c r="M262" s="37"/>
    </row>
    <row r="263" spans="1:14">
      <c r="B263" s="136">
        <f t="shared" si="26"/>
        <v>69</v>
      </c>
      <c r="C263" s="19" t="s">
        <v>906</v>
      </c>
      <c r="D263" s="19">
        <v>101898</v>
      </c>
      <c r="E263" s="31" t="s">
        <v>907</v>
      </c>
      <c r="F263" s="18">
        <v>320.08999999999997</v>
      </c>
      <c r="G263" s="15">
        <v>206</v>
      </c>
      <c r="H263" s="54">
        <v>14.57</v>
      </c>
      <c r="I263" s="18"/>
      <c r="J263" s="18">
        <f t="shared" si="24"/>
        <v>220.57</v>
      </c>
      <c r="K263" s="162">
        <v>99.52</v>
      </c>
      <c r="L263" s="33">
        <f>+(F263-((SUM(J263+K263))))</f>
        <v>0</v>
      </c>
      <c r="M263" s="37" t="s">
        <v>504</v>
      </c>
      <c r="N263" s="40"/>
    </row>
    <row r="264" spans="1:14">
      <c r="B264" s="136">
        <f t="shared" si="26"/>
        <v>70</v>
      </c>
      <c r="C264" s="19" t="s">
        <v>908</v>
      </c>
      <c r="D264" s="19">
        <v>101888</v>
      </c>
      <c r="E264" s="31" t="s">
        <v>909</v>
      </c>
      <c r="F264" s="18">
        <v>87.45</v>
      </c>
      <c r="G264" s="15">
        <v>50</v>
      </c>
      <c r="H264" s="54">
        <v>2.5299999999999998</v>
      </c>
      <c r="I264" s="18">
        <v>34.92</v>
      </c>
      <c r="J264" s="18">
        <f t="shared" si="24"/>
        <v>87.45</v>
      </c>
      <c r="K264" s="32"/>
      <c r="L264" s="33">
        <f>+(F264-((SUM(J264+K264))))</f>
        <v>0</v>
      </c>
      <c r="M264" s="37"/>
      <c r="N264" s="58"/>
    </row>
    <row r="265" spans="1:14">
      <c r="B265" s="136">
        <f t="shared" si="26"/>
        <v>71</v>
      </c>
      <c r="C265" s="19" t="s">
        <v>910</v>
      </c>
      <c r="D265" s="19">
        <v>101892</v>
      </c>
      <c r="E265" s="31" t="s">
        <v>911</v>
      </c>
      <c r="F265" s="18">
        <v>78.16</v>
      </c>
      <c r="G265" s="15">
        <v>50</v>
      </c>
      <c r="H265" s="54">
        <v>3.72</v>
      </c>
      <c r="I265" s="18">
        <v>24.44</v>
      </c>
      <c r="J265" s="18">
        <f t="shared" si="24"/>
        <v>78.16</v>
      </c>
      <c r="K265" s="32"/>
      <c r="L265" s="33">
        <f t="shared" si="25"/>
        <v>0</v>
      </c>
      <c r="M265" s="37"/>
      <c r="N265" s="59" t="s">
        <v>525</v>
      </c>
    </row>
    <row r="266" spans="1:14">
      <c r="B266" s="136">
        <f t="shared" si="26"/>
        <v>72</v>
      </c>
      <c r="C266" s="19" t="s">
        <v>912</v>
      </c>
      <c r="D266" s="19">
        <v>101889</v>
      </c>
      <c r="E266" s="31" t="s">
        <v>913</v>
      </c>
      <c r="F266" s="18">
        <v>52.5</v>
      </c>
      <c r="G266" s="15">
        <v>50</v>
      </c>
      <c r="H266" s="54">
        <v>2.5</v>
      </c>
      <c r="I266" s="18"/>
      <c r="J266" s="18">
        <f t="shared" si="24"/>
        <v>52.5</v>
      </c>
      <c r="K266" s="32"/>
      <c r="L266" s="33">
        <f t="shared" si="25"/>
        <v>0</v>
      </c>
      <c r="M266" s="37"/>
      <c r="N266" s="60" t="s">
        <v>79</v>
      </c>
    </row>
    <row r="267" spans="1:14" ht="15" customHeight="1">
      <c r="B267" s="136">
        <f t="shared" si="26"/>
        <v>73</v>
      </c>
      <c r="C267" s="19" t="s">
        <v>914</v>
      </c>
      <c r="D267" s="19">
        <v>101329</v>
      </c>
      <c r="E267" s="31" t="s">
        <v>915</v>
      </c>
      <c r="F267" s="18">
        <v>52.5</v>
      </c>
      <c r="G267" s="15">
        <v>50</v>
      </c>
      <c r="H267" s="54">
        <v>2.5</v>
      </c>
      <c r="I267" s="18"/>
      <c r="J267" s="18">
        <f t="shared" si="24"/>
        <v>52.5</v>
      </c>
      <c r="K267" s="32"/>
      <c r="L267" s="33">
        <f t="shared" si="25"/>
        <v>0</v>
      </c>
      <c r="M267" s="37"/>
      <c r="N267" s="40"/>
    </row>
    <row r="268" spans="1:14">
      <c r="B268" s="136">
        <f t="shared" si="26"/>
        <v>74</v>
      </c>
      <c r="C268" s="19" t="s">
        <v>916</v>
      </c>
      <c r="D268" s="19">
        <v>101884</v>
      </c>
      <c r="E268" s="31" t="s">
        <v>917</v>
      </c>
      <c r="F268" s="18">
        <v>52.5</v>
      </c>
      <c r="G268" s="15">
        <v>50</v>
      </c>
      <c r="H268" s="54">
        <v>2.5</v>
      </c>
      <c r="I268" s="18"/>
      <c r="J268" s="18">
        <f t="shared" si="24"/>
        <v>52.5</v>
      </c>
      <c r="K268" s="32"/>
      <c r="L268" s="33">
        <f t="shared" si="25"/>
        <v>0</v>
      </c>
      <c r="M268" s="37"/>
      <c r="N268" s="40"/>
    </row>
    <row r="269" spans="1:14">
      <c r="B269" s="136">
        <f t="shared" si="26"/>
        <v>75</v>
      </c>
      <c r="C269" s="19" t="s">
        <v>918</v>
      </c>
      <c r="D269" s="19">
        <v>101882</v>
      </c>
      <c r="E269" s="31" t="s">
        <v>919</v>
      </c>
      <c r="F269" s="18">
        <v>52.5</v>
      </c>
      <c r="G269" s="15">
        <v>50</v>
      </c>
      <c r="H269" s="54">
        <v>2.5</v>
      </c>
      <c r="I269" s="18"/>
      <c r="J269" s="18">
        <f t="shared" si="24"/>
        <v>52.5</v>
      </c>
      <c r="K269" s="32"/>
      <c r="L269" s="33">
        <f t="shared" si="25"/>
        <v>0</v>
      </c>
      <c r="M269" s="37"/>
      <c r="N269" s="40"/>
    </row>
    <row r="270" spans="1:14">
      <c r="B270" s="136">
        <f t="shared" si="26"/>
        <v>76</v>
      </c>
      <c r="C270" s="19" t="s">
        <v>920</v>
      </c>
      <c r="D270" s="19">
        <v>101881</v>
      </c>
      <c r="E270" s="31" t="s">
        <v>921</v>
      </c>
      <c r="F270" s="18">
        <v>61.28</v>
      </c>
      <c r="G270" s="15">
        <v>50</v>
      </c>
      <c r="H270" s="54">
        <v>2.92</v>
      </c>
      <c r="I270" s="18">
        <v>8.36</v>
      </c>
      <c r="J270" s="18">
        <f t="shared" si="24"/>
        <v>61.28</v>
      </c>
      <c r="K270" s="32"/>
      <c r="L270" s="33">
        <f t="shared" si="25"/>
        <v>0</v>
      </c>
      <c r="M270" s="37"/>
      <c r="N270" s="40"/>
    </row>
    <row r="271" spans="1:14" ht="15.75" customHeight="1" thickBot="1">
      <c r="B271" s="136">
        <f t="shared" ref="B271" si="27">1+B270</f>
        <v>77</v>
      </c>
      <c r="C271" s="132" t="s">
        <v>922</v>
      </c>
      <c r="D271" s="197">
        <v>105105</v>
      </c>
      <c r="E271" s="31" t="s">
        <v>923</v>
      </c>
      <c r="F271" s="18">
        <v>78.75</v>
      </c>
      <c r="G271" s="130">
        <v>50</v>
      </c>
      <c r="H271" s="131">
        <v>3.75</v>
      </c>
      <c r="I271" s="18">
        <v>25</v>
      </c>
      <c r="J271" s="18">
        <f>SUM(G271+H271+I271)</f>
        <v>78.75</v>
      </c>
      <c r="K271" s="32"/>
      <c r="L271" s="33">
        <f>+(F271-((SUM(J271+K271))))</f>
        <v>0</v>
      </c>
      <c r="M271" s="37"/>
      <c r="N271" s="195"/>
    </row>
    <row r="272" spans="1:14" ht="16.5" thickBot="1">
      <c r="A272" s="4"/>
      <c r="B272" s="142"/>
      <c r="C272" s="143"/>
      <c r="D272" s="143"/>
      <c r="E272" s="144"/>
      <c r="F272" s="65">
        <f t="shared" ref="F272:L272" si="28">SUM(F195:F271)</f>
        <v>12078.22</v>
      </c>
      <c r="G272" s="65">
        <f t="shared" si="28"/>
        <v>7055</v>
      </c>
      <c r="H272" s="65">
        <f t="shared" si="28"/>
        <v>445.9</v>
      </c>
      <c r="I272" s="65">
        <f t="shared" si="28"/>
        <v>4238.99</v>
      </c>
      <c r="J272" s="65">
        <f t="shared" si="28"/>
        <v>11739.889999999998</v>
      </c>
      <c r="K272" s="65">
        <f t="shared" si="28"/>
        <v>338.33</v>
      </c>
      <c r="L272" s="65">
        <f t="shared" si="28"/>
        <v>1.1368683772161603E-13</v>
      </c>
      <c r="M272" s="155"/>
      <c r="N272" s="194"/>
    </row>
    <row r="273" spans="1:14" ht="16.5" thickBot="1">
      <c r="A273" s="4"/>
      <c r="B273" s="137"/>
      <c r="C273" s="138" t="s">
        <v>398</v>
      </c>
      <c r="D273" s="10"/>
      <c r="E273" s="139"/>
      <c r="F273" s="139"/>
      <c r="G273" s="139"/>
      <c r="H273" s="139"/>
      <c r="I273" s="139"/>
      <c r="J273" s="139"/>
      <c r="K273" s="139"/>
      <c r="L273" s="139"/>
      <c r="M273" s="140"/>
      <c r="N273" s="6" t="s">
        <v>539</v>
      </c>
    </row>
    <row r="274" spans="1:14" ht="15.75" customHeight="1">
      <c r="B274" s="133">
        <v>1</v>
      </c>
      <c r="C274" s="196" t="s">
        <v>924</v>
      </c>
      <c r="D274" s="196">
        <v>101766</v>
      </c>
      <c r="E274" s="200" t="s">
        <v>925</v>
      </c>
      <c r="F274" s="134">
        <v>210</v>
      </c>
      <c r="G274" s="201">
        <v>200</v>
      </c>
      <c r="H274" s="202">
        <v>10</v>
      </c>
      <c r="I274" s="134"/>
      <c r="J274" s="134">
        <f>SUM(G274:I274)</f>
        <v>210</v>
      </c>
      <c r="K274" s="203"/>
      <c r="L274" s="135">
        <f t="shared" ref="L274:L282" si="29">+(F274-((SUM(J274+K274))))</f>
        <v>0</v>
      </c>
      <c r="M274" s="204"/>
      <c r="N274" s="6" t="s">
        <v>542</v>
      </c>
    </row>
    <row r="275" spans="1:14" ht="15.75" customHeight="1">
      <c r="B275" s="11">
        <f>1+B274</f>
        <v>2</v>
      </c>
      <c r="C275" s="19" t="s">
        <v>926</v>
      </c>
      <c r="D275" s="19">
        <v>101776</v>
      </c>
      <c r="E275" s="31" t="s">
        <v>927</v>
      </c>
      <c r="F275" s="18">
        <v>61</v>
      </c>
      <c r="G275" s="53">
        <v>50</v>
      </c>
      <c r="H275" s="54">
        <v>2.5</v>
      </c>
      <c r="I275" s="18">
        <v>8.5</v>
      </c>
      <c r="J275" s="18">
        <f>SUM(G275:I275)</f>
        <v>61</v>
      </c>
      <c r="K275" s="32"/>
      <c r="L275" s="33">
        <f t="shared" si="29"/>
        <v>0</v>
      </c>
      <c r="M275" s="37"/>
      <c r="N275" s="40"/>
    </row>
    <row r="276" spans="1:14">
      <c r="B276" s="11">
        <f t="shared" ref="B276:B283" si="30">1+B275</f>
        <v>3</v>
      </c>
      <c r="C276" s="19" t="s">
        <v>419</v>
      </c>
      <c r="D276" s="19">
        <v>101842</v>
      </c>
      <c r="E276" s="118" t="s">
        <v>928</v>
      </c>
      <c r="F276" s="18">
        <v>632.4</v>
      </c>
      <c r="G276" s="15">
        <v>100</v>
      </c>
      <c r="H276" s="16">
        <v>15.56</v>
      </c>
      <c r="I276" s="18">
        <v>516.84</v>
      </c>
      <c r="J276" s="18">
        <f t="shared" ref="J276:J282" si="31">SUM(G276+H276+I276)</f>
        <v>632.40000000000009</v>
      </c>
      <c r="K276" s="32"/>
      <c r="L276" s="33">
        <f t="shared" si="29"/>
        <v>-1.1368683772161603E-13</v>
      </c>
      <c r="M276" s="37"/>
      <c r="N276" s="40"/>
    </row>
    <row r="277" spans="1:14" ht="15.75" customHeight="1">
      <c r="B277" s="11">
        <f t="shared" si="30"/>
        <v>4</v>
      </c>
      <c r="C277" s="19" t="s">
        <v>929</v>
      </c>
      <c r="D277" s="19">
        <v>101778</v>
      </c>
      <c r="E277" s="118" t="s">
        <v>930</v>
      </c>
      <c r="F277" s="18">
        <v>52.5</v>
      </c>
      <c r="G277" s="15">
        <v>50</v>
      </c>
      <c r="H277" s="16">
        <v>2.5</v>
      </c>
      <c r="I277" s="18"/>
      <c r="J277" s="18">
        <f t="shared" si="31"/>
        <v>52.5</v>
      </c>
      <c r="K277" s="32"/>
      <c r="L277" s="33">
        <f t="shared" si="29"/>
        <v>0</v>
      </c>
      <c r="M277" s="37"/>
      <c r="N277" s="40"/>
    </row>
    <row r="278" spans="1:14" ht="16.5" customHeight="1">
      <c r="B278" s="11">
        <f t="shared" si="30"/>
        <v>5</v>
      </c>
      <c r="C278" s="19" t="s">
        <v>399</v>
      </c>
      <c r="D278" s="19">
        <v>101514</v>
      </c>
      <c r="E278" s="31" t="s">
        <v>400</v>
      </c>
      <c r="F278" s="18">
        <v>53.46</v>
      </c>
      <c r="G278" s="15">
        <v>50</v>
      </c>
      <c r="H278" s="16">
        <v>2.5499999999999998</v>
      </c>
      <c r="I278" s="18">
        <v>0.91</v>
      </c>
      <c r="J278" s="18">
        <f t="shared" si="31"/>
        <v>53.459999999999994</v>
      </c>
      <c r="K278" s="32"/>
      <c r="L278" s="33">
        <f t="shared" si="29"/>
        <v>7.1054273576010019E-15</v>
      </c>
      <c r="M278" s="37"/>
      <c r="N278" s="40"/>
    </row>
    <row r="279" spans="1:14">
      <c r="B279" s="11">
        <f t="shared" si="30"/>
        <v>6</v>
      </c>
      <c r="C279" s="19" t="s">
        <v>411</v>
      </c>
      <c r="D279" s="19">
        <v>101384</v>
      </c>
      <c r="E279" s="31" t="s">
        <v>412</v>
      </c>
      <c r="F279" s="18">
        <v>52.5</v>
      </c>
      <c r="G279" s="15">
        <v>50</v>
      </c>
      <c r="H279" s="16">
        <v>2.5</v>
      </c>
      <c r="I279" s="18"/>
      <c r="J279" s="18">
        <f t="shared" si="31"/>
        <v>52.5</v>
      </c>
      <c r="K279" s="32"/>
      <c r="L279" s="33">
        <f t="shared" si="29"/>
        <v>0</v>
      </c>
      <c r="M279" s="37"/>
      <c r="N279" s="195"/>
    </row>
    <row r="280" spans="1:14">
      <c r="B280" s="11">
        <f t="shared" si="30"/>
        <v>7</v>
      </c>
      <c r="C280" s="19" t="s">
        <v>931</v>
      </c>
      <c r="D280" s="19">
        <v>101350</v>
      </c>
      <c r="E280" s="31" t="s">
        <v>932</v>
      </c>
      <c r="F280" s="18">
        <v>52.5</v>
      </c>
      <c r="G280" s="20">
        <v>50</v>
      </c>
      <c r="H280" s="21">
        <v>2.5</v>
      </c>
      <c r="I280" s="18"/>
      <c r="J280" s="18">
        <f t="shared" si="31"/>
        <v>52.5</v>
      </c>
      <c r="K280" s="32"/>
      <c r="L280" s="33">
        <f t="shared" si="29"/>
        <v>0</v>
      </c>
      <c r="M280" s="37"/>
      <c r="N280" s="194"/>
    </row>
    <row r="281" spans="1:14" ht="15.75" customHeight="1">
      <c r="B281" s="11">
        <f t="shared" si="30"/>
        <v>8</v>
      </c>
      <c r="C281" s="19" t="s">
        <v>933</v>
      </c>
      <c r="D281" s="19">
        <v>101775</v>
      </c>
      <c r="E281" s="31" t="s">
        <v>934</v>
      </c>
      <c r="F281" s="18">
        <v>52.5</v>
      </c>
      <c r="G281" s="53">
        <v>50</v>
      </c>
      <c r="H281" s="54">
        <v>2.5</v>
      </c>
      <c r="I281" s="18"/>
      <c r="J281" s="18">
        <f t="shared" si="31"/>
        <v>52.5</v>
      </c>
      <c r="K281" s="32"/>
      <c r="L281" s="33">
        <f t="shared" si="29"/>
        <v>0</v>
      </c>
      <c r="M281" s="37"/>
      <c r="N281" s="6" t="s">
        <v>557</v>
      </c>
    </row>
    <row r="282" spans="1:14">
      <c r="B282" s="11">
        <f t="shared" si="30"/>
        <v>9</v>
      </c>
      <c r="C282" s="19" t="s">
        <v>935</v>
      </c>
      <c r="D282" s="19">
        <v>101328</v>
      </c>
      <c r="E282" s="31" t="s">
        <v>936</v>
      </c>
      <c r="F282" s="18">
        <v>87.61</v>
      </c>
      <c r="G282" s="15">
        <v>50</v>
      </c>
      <c r="H282" s="54">
        <v>4.17</v>
      </c>
      <c r="I282" s="18">
        <v>33.44</v>
      </c>
      <c r="J282" s="18">
        <f t="shared" si="31"/>
        <v>87.61</v>
      </c>
      <c r="K282" s="32"/>
      <c r="L282" s="33">
        <f t="shared" si="29"/>
        <v>0</v>
      </c>
      <c r="M282" s="37"/>
      <c r="N282" s="6" t="s">
        <v>559</v>
      </c>
    </row>
    <row r="283" spans="1:14" ht="15.75" customHeight="1">
      <c r="B283" s="11">
        <f t="shared" si="30"/>
        <v>10</v>
      </c>
      <c r="C283" s="19" t="s">
        <v>937</v>
      </c>
      <c r="D283" s="19">
        <v>101764</v>
      </c>
      <c r="E283" s="31" t="s">
        <v>938</v>
      </c>
      <c r="F283" s="18">
        <v>108.49</v>
      </c>
      <c r="G283" s="53">
        <v>100</v>
      </c>
      <c r="H283" s="54">
        <v>5.17</v>
      </c>
      <c r="I283" s="18">
        <v>3.32</v>
      </c>
      <c r="J283" s="18">
        <f>SUM(G283+H283+I283)</f>
        <v>108.49</v>
      </c>
      <c r="K283" s="32"/>
      <c r="L283" s="33">
        <f>+(F283-((SUM(J283+K283))))</f>
        <v>0</v>
      </c>
      <c r="M283" s="37"/>
    </row>
    <row r="284" spans="1:14" ht="15.75" customHeight="1">
      <c r="B284" s="11"/>
      <c r="C284" s="19"/>
      <c r="D284" s="19"/>
      <c r="E284" s="31"/>
      <c r="F284" s="18"/>
      <c r="G284" s="53"/>
      <c r="H284" s="54"/>
      <c r="I284" s="18"/>
      <c r="J284" s="18"/>
      <c r="K284" s="32"/>
      <c r="L284" s="33"/>
      <c r="M284" s="37"/>
    </row>
    <row r="285" spans="1:14">
      <c r="B285" s="136"/>
      <c r="C285" s="30"/>
      <c r="D285" s="30"/>
      <c r="E285" s="199"/>
      <c r="F285" s="25"/>
      <c r="G285" s="16"/>
      <c r="H285" s="16"/>
      <c r="I285" s="25"/>
      <c r="J285" s="25"/>
      <c r="K285" s="25"/>
      <c r="L285" s="36"/>
      <c r="M285" s="37"/>
    </row>
    <row r="286" spans="1:14" ht="21.75" thickBot="1">
      <c r="A286" s="3"/>
      <c r="B286" s="205"/>
      <c r="C286" s="206"/>
      <c r="D286" s="207"/>
      <c r="E286" s="208" t="s">
        <v>474</v>
      </c>
      <c r="F286" s="209">
        <f t="shared" ref="F286:L286" si="32">SUM(F192,F272,F274:F283)</f>
        <v>45089.119999999995</v>
      </c>
      <c r="G286" s="209">
        <f t="shared" si="32"/>
        <v>29139.959999999992</v>
      </c>
      <c r="H286" s="209">
        <f t="shared" si="32"/>
        <v>1707.9999999999998</v>
      </c>
      <c r="I286" s="209">
        <f t="shared" si="32"/>
        <v>12882.040000000003</v>
      </c>
      <c r="J286" s="209">
        <f t="shared" si="32"/>
        <v>43730</v>
      </c>
      <c r="K286" s="209">
        <f t="shared" si="32"/>
        <v>1359.12</v>
      </c>
      <c r="L286" s="209">
        <f t="shared" si="32"/>
        <v>1.3500311979441904E-13</v>
      </c>
      <c r="M286" s="210"/>
    </row>
    <row r="289" spans="1:13" s="5" customFormat="1">
      <c r="A289" s="6"/>
      <c r="B289" s="7"/>
      <c r="C289" s="7"/>
      <c r="D289" s="8"/>
      <c r="E289" s="128"/>
      <c r="F289" s="4"/>
      <c r="G289" s="81"/>
      <c r="H289" s="81"/>
      <c r="I289" s="4"/>
      <c r="J289" s="4"/>
      <c r="K289" s="4"/>
      <c r="L289" s="9"/>
      <c r="M289" s="159"/>
    </row>
    <row r="290" spans="1:13" s="5" customFormat="1">
      <c r="A290" s="6"/>
      <c r="B290" s="7"/>
      <c r="C290" s="7"/>
      <c r="D290" s="8"/>
      <c r="E290" s="129"/>
      <c r="F290" s="4"/>
      <c r="G290" s="81"/>
      <c r="H290" s="81"/>
      <c r="I290" s="4"/>
      <c r="J290" s="4"/>
      <c r="K290" s="4" t="s">
        <v>939</v>
      </c>
      <c r="L290" s="9"/>
      <c r="M290" s="159"/>
    </row>
    <row r="292" spans="1:13" s="5" customFormat="1">
      <c r="A292" s="6"/>
      <c r="B292" s="7"/>
      <c r="C292" s="7"/>
      <c r="D292" s="8"/>
      <c r="E292" s="129"/>
      <c r="F292" s="4"/>
      <c r="G292" s="4"/>
      <c r="H292" s="4"/>
      <c r="I292" s="4"/>
      <c r="J292" s="81"/>
      <c r="K292" s="4"/>
      <c r="L292" s="9"/>
      <c r="M292" s="159"/>
    </row>
  </sheetData>
  <mergeCells count="5">
    <mergeCell ref="B1:L1"/>
    <mergeCell ref="B2:L2"/>
    <mergeCell ref="K3:K4"/>
    <mergeCell ref="L3:L4"/>
    <mergeCell ref="M3:M4"/>
  </mergeCells>
  <conditionalFormatting sqref="E89:E151 E1:E87 E156:E1048576 E153:E154">
    <cfRule type="duplicateValues" dxfId="147" priority="909"/>
  </conditionalFormatting>
  <pageMargins left="0.2" right="0.45" top="0.25" bottom="0.5" header="0.3" footer="0.3"/>
  <pageSetup paperSize="9" scale="55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6C2A6-C79B-462B-A654-07E504403116}">
  <dimension ref="A1:P308"/>
  <sheetViews>
    <sheetView zoomScaleNormal="100" workbookViewId="0">
      <pane xSplit="5" ySplit="2" topLeftCell="F24" activePane="bottomRight" state="frozen"/>
      <selection pane="bottomRight" activeCell="B89" sqref="B89"/>
      <selection pane="bottomLeft" activeCell="A3" sqref="A3"/>
      <selection pane="topRight" activeCell="F1" sqref="F1"/>
    </sheetView>
  </sheetViews>
  <sheetFormatPr defaultRowHeight="15"/>
  <cols>
    <col min="2" max="2" width="21.125" customWidth="1"/>
    <col min="3" max="3" width="12.25" customWidth="1"/>
    <col min="4" max="4" width="11.25" customWidth="1"/>
    <col min="5" max="5" width="24.375" customWidth="1"/>
    <col min="6" max="6" width="20.625" style="273" customWidth="1"/>
    <col min="7" max="7" width="18.375" customWidth="1"/>
    <col min="8" max="8" width="18.625" customWidth="1"/>
    <col min="9" max="9" width="16.375" style="259" customWidth="1"/>
    <col min="10" max="10" width="20" customWidth="1"/>
    <col min="11" max="11" width="15.875" customWidth="1"/>
    <col min="12" max="12" width="18.875" customWidth="1"/>
    <col min="13" max="13" width="27.75" customWidth="1"/>
  </cols>
  <sheetData>
    <row r="1" spans="1:14" ht="31.5" customHeight="1">
      <c r="A1" s="272"/>
      <c r="B1" s="265"/>
      <c r="C1" s="265"/>
      <c r="D1" s="265"/>
      <c r="E1" s="265"/>
      <c r="F1" s="266"/>
      <c r="G1" s="265"/>
      <c r="H1" s="265"/>
      <c r="I1" s="265"/>
      <c r="J1" s="265"/>
      <c r="K1" s="265"/>
      <c r="L1" s="265"/>
      <c r="M1" s="214" t="s">
        <v>940</v>
      </c>
      <c r="N1" s="1"/>
    </row>
    <row r="2" spans="1:14" ht="23.25">
      <c r="A2" s="415" t="s">
        <v>941</v>
      </c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214" t="s">
        <v>462</v>
      </c>
      <c r="N2" s="1"/>
    </row>
    <row r="3" spans="1:14" ht="15.75" customHeight="1">
      <c r="A3" s="181" t="s">
        <v>463</v>
      </c>
      <c r="B3" s="225" t="s">
        <v>464</v>
      </c>
      <c r="C3" s="225"/>
      <c r="D3" s="225"/>
      <c r="E3" s="226" t="s">
        <v>465</v>
      </c>
      <c r="F3" s="244" t="s">
        <v>466</v>
      </c>
      <c r="G3" s="227" t="s">
        <v>467</v>
      </c>
      <c r="H3" s="227"/>
      <c r="I3" s="244"/>
      <c r="J3" s="227"/>
      <c r="K3" s="184" t="s">
        <v>468</v>
      </c>
      <c r="L3" s="260" t="s">
        <v>469</v>
      </c>
      <c r="M3" s="416" t="s">
        <v>470</v>
      </c>
      <c r="N3" s="6"/>
    </row>
    <row r="4" spans="1:14" ht="15.75">
      <c r="A4" s="185"/>
      <c r="B4" s="228"/>
      <c r="C4" s="228"/>
      <c r="D4" s="228"/>
      <c r="E4" s="229"/>
      <c r="F4" s="246"/>
      <c r="G4" s="231" t="s">
        <v>471</v>
      </c>
      <c r="H4" s="231" t="s">
        <v>472</v>
      </c>
      <c r="I4" s="245" t="s">
        <v>473</v>
      </c>
      <c r="J4" s="231" t="s">
        <v>474</v>
      </c>
      <c r="K4" s="175"/>
      <c r="L4" s="261"/>
      <c r="M4" s="417"/>
      <c r="N4" s="6"/>
    </row>
    <row r="5" spans="1:14" ht="15.75">
      <c r="A5" s="165"/>
      <c r="B5" s="177" t="s">
        <v>475</v>
      </c>
      <c r="C5" s="177"/>
      <c r="D5" s="177" t="s">
        <v>476</v>
      </c>
      <c r="E5" s="232" t="s">
        <v>477</v>
      </c>
      <c r="F5" s="246"/>
      <c r="G5" s="230"/>
      <c r="H5" s="230"/>
      <c r="I5" s="246"/>
      <c r="J5" s="230"/>
      <c r="K5" s="230"/>
      <c r="L5" s="230"/>
      <c r="M5" s="233"/>
      <c r="N5" s="6"/>
    </row>
    <row r="6" spans="1:14" ht="15.75">
      <c r="A6" s="164"/>
      <c r="B6" s="234" t="s">
        <v>478</v>
      </c>
      <c r="C6" s="234"/>
      <c r="D6" s="234"/>
      <c r="E6" s="235"/>
      <c r="F6" s="247"/>
      <c r="G6" s="236"/>
      <c r="H6" s="236"/>
      <c r="I6" s="247"/>
      <c r="J6" s="236"/>
      <c r="K6" s="236"/>
      <c r="L6" s="236"/>
      <c r="M6" s="237"/>
      <c r="N6" s="6"/>
    </row>
    <row r="7" spans="1:14" ht="15.75">
      <c r="A7" s="11">
        <v>1</v>
      </c>
      <c r="B7" s="19" t="s">
        <v>479</v>
      </c>
      <c r="C7" s="19"/>
      <c r="D7" s="19"/>
      <c r="E7" s="117" t="s">
        <v>480</v>
      </c>
      <c r="F7" s="14">
        <v>4602.68</v>
      </c>
      <c r="G7" s="74">
        <v>4355</v>
      </c>
      <c r="H7" s="75">
        <v>217.75</v>
      </c>
      <c r="I7" s="14">
        <v>29.93</v>
      </c>
      <c r="J7" s="18">
        <f t="shared" ref="J7:J68" si="0">SUM(G7+H7+I7)</f>
        <v>4602.68</v>
      </c>
      <c r="K7" s="32"/>
      <c r="L7" s="33">
        <f t="shared" ref="L7:L66" si="1">+(F7-((SUM(J7+K7))))</f>
        <v>0</v>
      </c>
      <c r="M7" s="215"/>
      <c r="N7" s="6"/>
    </row>
    <row r="8" spans="1:14" ht="15.75">
      <c r="A8" s="11">
        <f>1+A7</f>
        <v>2</v>
      </c>
      <c r="B8" s="19" t="s">
        <v>481</v>
      </c>
      <c r="C8" s="19"/>
      <c r="D8" s="19"/>
      <c r="E8" s="118" t="s">
        <v>482</v>
      </c>
      <c r="F8" s="14">
        <v>99.75</v>
      </c>
      <c r="G8" s="74">
        <v>95</v>
      </c>
      <c r="H8" s="75">
        <v>4.75</v>
      </c>
      <c r="I8" s="14"/>
      <c r="J8" s="18">
        <f t="shared" si="0"/>
        <v>99.75</v>
      </c>
      <c r="K8" s="32"/>
      <c r="L8" s="33">
        <f t="shared" si="1"/>
        <v>0</v>
      </c>
      <c r="M8" s="215"/>
      <c r="N8" s="6"/>
    </row>
    <row r="9" spans="1:14" ht="15.75">
      <c r="A9" s="11">
        <f t="shared" ref="A9:A72" si="2">1+A8</f>
        <v>3</v>
      </c>
      <c r="B9" s="19" t="s">
        <v>483</v>
      </c>
      <c r="C9" s="19"/>
      <c r="D9" s="19"/>
      <c r="E9" s="118" t="s">
        <v>483</v>
      </c>
      <c r="F9" s="14">
        <v>414.75</v>
      </c>
      <c r="G9" s="74">
        <v>395</v>
      </c>
      <c r="H9" s="75">
        <v>19.75</v>
      </c>
      <c r="I9" s="14"/>
      <c r="J9" s="18">
        <f t="shared" si="0"/>
        <v>414.75</v>
      </c>
      <c r="K9" s="32"/>
      <c r="L9" s="33">
        <f t="shared" si="1"/>
        <v>0</v>
      </c>
      <c r="M9" s="215"/>
      <c r="N9" s="6"/>
    </row>
    <row r="10" spans="1:14" ht="15.75">
      <c r="A10" s="11">
        <f t="shared" si="2"/>
        <v>4</v>
      </c>
      <c r="B10" s="19" t="s">
        <v>484</v>
      </c>
      <c r="C10" s="19"/>
      <c r="D10" s="19"/>
      <c r="E10" s="31" t="s">
        <v>484</v>
      </c>
      <c r="F10" s="14">
        <v>414.75</v>
      </c>
      <c r="G10" s="74">
        <v>395</v>
      </c>
      <c r="H10" s="75">
        <v>19.75</v>
      </c>
      <c r="I10" s="14"/>
      <c r="J10" s="18">
        <f t="shared" si="0"/>
        <v>414.75</v>
      </c>
      <c r="K10" s="32"/>
      <c r="L10" s="33">
        <f t="shared" si="1"/>
        <v>0</v>
      </c>
      <c r="M10" s="215"/>
      <c r="N10" s="6"/>
    </row>
    <row r="11" spans="1:14" ht="15.75">
      <c r="A11" s="11">
        <f t="shared" si="2"/>
        <v>5</v>
      </c>
      <c r="B11" s="19">
        <v>9202729</v>
      </c>
      <c r="C11" s="19"/>
      <c r="D11" s="19"/>
      <c r="E11" s="118" t="s">
        <v>485</v>
      </c>
      <c r="F11" s="14">
        <v>525</v>
      </c>
      <c r="G11" s="74">
        <v>500</v>
      </c>
      <c r="H11" s="75">
        <v>25</v>
      </c>
      <c r="I11" s="14"/>
      <c r="J11" s="18">
        <f t="shared" si="0"/>
        <v>525</v>
      </c>
      <c r="K11" s="32"/>
      <c r="L11" s="33">
        <f t="shared" si="1"/>
        <v>0</v>
      </c>
      <c r="M11" s="215"/>
      <c r="N11" s="6"/>
    </row>
    <row r="12" spans="1:14" ht="15.75">
      <c r="A12" s="11">
        <f t="shared" si="2"/>
        <v>6</v>
      </c>
      <c r="B12" s="19" t="s">
        <v>486</v>
      </c>
      <c r="C12" s="19"/>
      <c r="D12" s="19"/>
      <c r="E12" s="119" t="s">
        <v>132</v>
      </c>
      <c r="F12" s="14">
        <v>210</v>
      </c>
      <c r="G12" s="20">
        <v>200</v>
      </c>
      <c r="H12" s="21">
        <v>10</v>
      </c>
      <c r="I12" s="14"/>
      <c r="J12" s="18">
        <f t="shared" si="0"/>
        <v>210</v>
      </c>
      <c r="K12" s="32"/>
      <c r="L12" s="33">
        <f t="shared" si="1"/>
        <v>0</v>
      </c>
      <c r="M12" s="215"/>
      <c r="N12" s="6"/>
    </row>
    <row r="13" spans="1:14" ht="15.75">
      <c r="A13" s="11">
        <f t="shared" si="2"/>
        <v>7</v>
      </c>
      <c r="B13" s="19" t="s">
        <v>487</v>
      </c>
      <c r="C13" s="19"/>
      <c r="D13" s="19"/>
      <c r="E13" s="119" t="s">
        <v>134</v>
      </c>
      <c r="F13" s="14">
        <v>933.75</v>
      </c>
      <c r="G13" s="20">
        <v>200</v>
      </c>
      <c r="H13" s="21">
        <v>10</v>
      </c>
      <c r="I13" s="14">
        <v>723.75</v>
      </c>
      <c r="J13" s="18">
        <f t="shared" si="0"/>
        <v>933.75</v>
      </c>
      <c r="K13" s="32"/>
      <c r="L13" s="33">
        <f t="shared" si="1"/>
        <v>0</v>
      </c>
      <c r="M13" s="215"/>
      <c r="N13" s="6"/>
    </row>
    <row r="14" spans="1:14" ht="15.75">
      <c r="A14" s="11">
        <f t="shared" si="2"/>
        <v>8</v>
      </c>
      <c r="B14" s="19" t="s">
        <v>488</v>
      </c>
      <c r="C14" s="19"/>
      <c r="D14" s="19"/>
      <c r="E14" s="119" t="s">
        <v>136</v>
      </c>
      <c r="F14" s="14">
        <v>210</v>
      </c>
      <c r="G14" s="20">
        <v>200</v>
      </c>
      <c r="H14" s="21">
        <v>10</v>
      </c>
      <c r="I14" s="14"/>
      <c r="J14" s="18">
        <f t="shared" si="0"/>
        <v>210</v>
      </c>
      <c r="K14" s="32"/>
      <c r="L14" s="33">
        <f t="shared" si="1"/>
        <v>0</v>
      </c>
      <c r="M14" s="215"/>
      <c r="N14" s="6"/>
    </row>
    <row r="15" spans="1:14" ht="15.75">
      <c r="A15" s="11">
        <f t="shared" si="2"/>
        <v>9</v>
      </c>
      <c r="B15" s="19" t="s">
        <v>489</v>
      </c>
      <c r="C15" s="19"/>
      <c r="D15" s="19"/>
      <c r="E15" s="119" t="s">
        <v>138</v>
      </c>
      <c r="F15" s="14">
        <v>210</v>
      </c>
      <c r="G15" s="20">
        <v>200</v>
      </c>
      <c r="H15" s="21">
        <v>10</v>
      </c>
      <c r="I15" s="14"/>
      <c r="J15" s="18">
        <f t="shared" si="0"/>
        <v>210</v>
      </c>
      <c r="K15" s="32"/>
      <c r="L15" s="33">
        <f t="shared" si="1"/>
        <v>0</v>
      </c>
      <c r="M15" s="215"/>
      <c r="N15" s="6"/>
    </row>
    <row r="16" spans="1:14" ht="15.75">
      <c r="A16" s="11">
        <f t="shared" si="2"/>
        <v>10</v>
      </c>
      <c r="B16" s="19" t="s">
        <v>490</v>
      </c>
      <c r="C16" s="19"/>
      <c r="D16" s="19">
        <v>101074</v>
      </c>
      <c r="E16" s="120" t="s">
        <v>79</v>
      </c>
      <c r="F16" s="14">
        <v>874.7</v>
      </c>
      <c r="G16" s="74">
        <v>325</v>
      </c>
      <c r="H16" s="75">
        <v>16.25</v>
      </c>
      <c r="I16" s="14">
        <v>533.45000000000005</v>
      </c>
      <c r="J16" s="18">
        <f t="shared" si="0"/>
        <v>874.7</v>
      </c>
      <c r="K16" s="32"/>
      <c r="L16" s="33">
        <f t="shared" si="1"/>
        <v>0</v>
      </c>
      <c r="M16" s="215"/>
      <c r="N16" s="6"/>
    </row>
    <row r="17" spans="1:16" ht="15.75">
      <c r="A17" s="11">
        <f t="shared" si="2"/>
        <v>11</v>
      </c>
      <c r="B17" s="19" t="s">
        <v>492</v>
      </c>
      <c r="C17" s="19"/>
      <c r="D17" s="19"/>
      <c r="E17" s="118" t="s">
        <v>493</v>
      </c>
      <c r="F17" s="14">
        <v>210</v>
      </c>
      <c r="G17" s="74">
        <v>100</v>
      </c>
      <c r="H17" s="75">
        <v>5</v>
      </c>
      <c r="I17" s="14">
        <v>105</v>
      </c>
      <c r="J17" s="18">
        <f t="shared" si="0"/>
        <v>210</v>
      </c>
      <c r="K17" s="32"/>
      <c r="L17" s="33">
        <f t="shared" si="1"/>
        <v>0</v>
      </c>
      <c r="M17" s="216" t="s">
        <v>494</v>
      </c>
      <c r="N17" s="6"/>
    </row>
    <row r="18" spans="1:16" ht="15.75">
      <c r="A18" s="11">
        <f t="shared" si="2"/>
        <v>12</v>
      </c>
      <c r="B18" s="19" t="s">
        <v>495</v>
      </c>
      <c r="C18" s="19"/>
      <c r="D18" s="19"/>
      <c r="E18" s="118" t="s">
        <v>496</v>
      </c>
      <c r="F18" s="14">
        <v>52.5</v>
      </c>
      <c r="G18" s="74">
        <v>50</v>
      </c>
      <c r="H18" s="75">
        <v>2.5</v>
      </c>
      <c r="I18" s="14"/>
      <c r="J18" s="18">
        <f t="shared" si="0"/>
        <v>52.5</v>
      </c>
      <c r="K18" s="32"/>
      <c r="L18" s="33">
        <f t="shared" si="1"/>
        <v>0</v>
      </c>
      <c r="M18" s="215"/>
      <c r="N18" s="6"/>
    </row>
    <row r="19" spans="1:16" ht="15.75">
      <c r="A19" s="11">
        <f t="shared" si="2"/>
        <v>13</v>
      </c>
      <c r="B19" s="19" t="s">
        <v>497</v>
      </c>
      <c r="C19" s="19" t="s">
        <v>942</v>
      </c>
      <c r="D19" s="19">
        <v>101028</v>
      </c>
      <c r="E19" s="31" t="s">
        <v>498</v>
      </c>
      <c r="F19" s="14">
        <v>196.32</v>
      </c>
      <c r="G19" s="53">
        <v>100</v>
      </c>
      <c r="H19" s="54">
        <v>5</v>
      </c>
      <c r="I19" s="248">
        <v>91.32</v>
      </c>
      <c r="J19" s="18">
        <f t="shared" si="0"/>
        <v>196.32</v>
      </c>
      <c r="K19" s="61"/>
      <c r="L19" s="33">
        <f t="shared" si="1"/>
        <v>0</v>
      </c>
      <c r="M19" s="215"/>
      <c r="N19" s="6"/>
    </row>
    <row r="20" spans="1:16" ht="15.75">
      <c r="A20" s="11">
        <f t="shared" si="2"/>
        <v>14</v>
      </c>
      <c r="B20" s="19" t="s">
        <v>499</v>
      </c>
      <c r="C20" s="19" t="s">
        <v>942</v>
      </c>
      <c r="D20" s="19">
        <v>101396</v>
      </c>
      <c r="E20" s="31" t="s">
        <v>500</v>
      </c>
      <c r="F20" s="14">
        <v>52.5</v>
      </c>
      <c r="G20" s="74">
        <v>50</v>
      </c>
      <c r="H20" s="75">
        <v>2.5</v>
      </c>
      <c r="I20" s="14"/>
      <c r="J20" s="18">
        <f t="shared" si="0"/>
        <v>52.5</v>
      </c>
      <c r="K20" s="32"/>
      <c r="L20" s="33">
        <f t="shared" si="1"/>
        <v>0</v>
      </c>
      <c r="M20" s="215"/>
      <c r="N20" s="6"/>
    </row>
    <row r="21" spans="1:16" ht="15.75">
      <c r="A21" s="11">
        <f t="shared" si="2"/>
        <v>15</v>
      </c>
      <c r="B21" s="19" t="s">
        <v>501</v>
      </c>
      <c r="C21" s="19" t="s">
        <v>942</v>
      </c>
      <c r="D21" s="19">
        <v>101268</v>
      </c>
      <c r="E21" s="31" t="s">
        <v>93</v>
      </c>
      <c r="F21" s="14">
        <v>52.5</v>
      </c>
      <c r="G21" s="74">
        <v>50</v>
      </c>
      <c r="H21" s="75">
        <v>2.5</v>
      </c>
      <c r="I21" s="14"/>
      <c r="J21" s="18">
        <f t="shared" si="0"/>
        <v>52.5</v>
      </c>
      <c r="K21" s="32"/>
      <c r="L21" s="33">
        <f t="shared" si="1"/>
        <v>0</v>
      </c>
      <c r="M21" s="215"/>
      <c r="N21" s="6"/>
    </row>
    <row r="22" spans="1:16" ht="15.75">
      <c r="A22" s="11">
        <f t="shared" si="2"/>
        <v>16</v>
      </c>
      <c r="B22" s="19" t="s">
        <v>416</v>
      </c>
      <c r="C22" s="19" t="s">
        <v>942</v>
      </c>
      <c r="D22" s="19">
        <v>101611</v>
      </c>
      <c r="E22" s="118" t="s">
        <v>321</v>
      </c>
      <c r="F22" s="14">
        <v>52.5</v>
      </c>
      <c r="G22" s="20">
        <v>50</v>
      </c>
      <c r="H22" s="21">
        <v>2.5</v>
      </c>
      <c r="I22" s="62"/>
      <c r="J22" s="18">
        <f t="shared" si="0"/>
        <v>52.5</v>
      </c>
      <c r="K22" s="32"/>
      <c r="L22" s="33">
        <f t="shared" si="1"/>
        <v>0</v>
      </c>
      <c r="M22" s="215"/>
      <c r="N22" s="6"/>
    </row>
    <row r="23" spans="1:16" ht="15.75">
      <c r="A23" s="11">
        <f t="shared" si="2"/>
        <v>17</v>
      </c>
      <c r="B23" s="19" t="s">
        <v>502</v>
      </c>
      <c r="C23" s="19" t="s">
        <v>942</v>
      </c>
      <c r="D23" s="19">
        <v>101806</v>
      </c>
      <c r="E23" s="31" t="s">
        <v>503</v>
      </c>
      <c r="F23" s="14">
        <v>52.5</v>
      </c>
      <c r="G23" s="74">
        <v>50</v>
      </c>
      <c r="H23" s="54">
        <v>2.5</v>
      </c>
      <c r="I23" s="14"/>
      <c r="J23" s="18">
        <f t="shared" si="0"/>
        <v>52.5</v>
      </c>
      <c r="K23" s="32"/>
      <c r="L23" s="33">
        <f t="shared" si="1"/>
        <v>0</v>
      </c>
      <c r="M23" s="215"/>
      <c r="N23" s="6"/>
    </row>
    <row r="24" spans="1:16" ht="15.75">
      <c r="A24" s="11">
        <f t="shared" si="2"/>
        <v>18</v>
      </c>
      <c r="B24" s="19" t="s">
        <v>505</v>
      </c>
      <c r="C24" s="19" t="s">
        <v>942</v>
      </c>
      <c r="D24" s="19">
        <v>101849</v>
      </c>
      <c r="E24" s="31" t="s">
        <v>506</v>
      </c>
      <c r="F24" s="14">
        <v>52.5</v>
      </c>
      <c r="G24" s="20">
        <v>50</v>
      </c>
      <c r="H24" s="21">
        <v>2.5</v>
      </c>
      <c r="I24" s="248"/>
      <c r="J24" s="18">
        <f t="shared" si="0"/>
        <v>52.5</v>
      </c>
      <c r="K24" s="32"/>
      <c r="L24" s="33">
        <f t="shared" si="1"/>
        <v>0</v>
      </c>
      <c r="M24" s="215"/>
      <c r="N24" s="6"/>
    </row>
    <row r="25" spans="1:16" ht="15.75">
      <c r="A25" s="11">
        <f t="shared" si="2"/>
        <v>19</v>
      </c>
      <c r="B25" s="19" t="s">
        <v>943</v>
      </c>
      <c r="C25" s="19"/>
      <c r="D25" s="19">
        <v>105208</v>
      </c>
      <c r="E25" s="31" t="s">
        <v>944</v>
      </c>
      <c r="F25" s="14">
        <v>52.5</v>
      </c>
      <c r="G25" s="56">
        <v>50</v>
      </c>
      <c r="H25" s="21">
        <v>2.5</v>
      </c>
      <c r="I25" s="147"/>
      <c r="J25" s="18">
        <f>SUM(G25+H25+I25)</f>
        <v>52.5</v>
      </c>
      <c r="K25" s="41"/>
      <c r="L25" s="85">
        <f>+(F25-((SUM(J25+K25))))</f>
        <v>0</v>
      </c>
      <c r="M25" s="218"/>
      <c r="N25" s="6"/>
    </row>
    <row r="26" spans="1:16" ht="15.75">
      <c r="A26" s="11">
        <f t="shared" si="2"/>
        <v>20</v>
      </c>
      <c r="B26" s="55" t="s">
        <v>945</v>
      </c>
      <c r="C26" s="55" t="s">
        <v>942</v>
      </c>
      <c r="D26" s="55">
        <v>105165</v>
      </c>
      <c r="E26" s="31" t="s">
        <v>946</v>
      </c>
      <c r="F26" s="147">
        <v>52.82</v>
      </c>
      <c r="G26" s="56">
        <v>50</v>
      </c>
      <c r="H26" s="21">
        <v>2.5</v>
      </c>
      <c r="I26" s="147">
        <v>0.32</v>
      </c>
      <c r="J26" s="18">
        <f>SUM(G26+H26+I26)</f>
        <v>52.82</v>
      </c>
      <c r="K26" s="41"/>
      <c r="L26" s="85">
        <f>+(F26-((SUM(J26+K26))))</f>
        <v>0</v>
      </c>
      <c r="M26" s="37"/>
      <c r="N26" s="40"/>
    </row>
    <row r="27" spans="1:16" ht="15.75">
      <c r="A27" s="11">
        <f t="shared" si="2"/>
        <v>21</v>
      </c>
      <c r="B27" s="19" t="s">
        <v>421</v>
      </c>
      <c r="C27" s="19" t="s">
        <v>942</v>
      </c>
      <c r="D27" s="19">
        <v>101555</v>
      </c>
      <c r="E27" s="31" t="s">
        <v>422</v>
      </c>
      <c r="F27" s="14">
        <v>105</v>
      </c>
      <c r="G27" s="74">
        <v>100</v>
      </c>
      <c r="H27" s="75">
        <v>5</v>
      </c>
      <c r="I27" s="14"/>
      <c r="J27" s="18">
        <f t="shared" si="0"/>
        <v>105</v>
      </c>
      <c r="K27" s="32"/>
      <c r="L27" s="33">
        <f t="shared" si="1"/>
        <v>0</v>
      </c>
      <c r="M27" s="215"/>
      <c r="N27" s="59" t="s">
        <v>525</v>
      </c>
    </row>
    <row r="28" spans="1:16" ht="15.75">
      <c r="A28" s="11">
        <f t="shared" si="2"/>
        <v>22</v>
      </c>
      <c r="B28" s="19" t="s">
        <v>507</v>
      </c>
      <c r="C28" s="19" t="s">
        <v>942</v>
      </c>
      <c r="D28" s="19">
        <v>101412</v>
      </c>
      <c r="E28" s="31" t="s">
        <v>183</v>
      </c>
      <c r="F28" s="14">
        <v>52.5</v>
      </c>
      <c r="G28" s="20">
        <v>50</v>
      </c>
      <c r="H28" s="21">
        <v>2.5</v>
      </c>
      <c r="I28" s="14"/>
      <c r="J28" s="18">
        <f t="shared" si="0"/>
        <v>52.5</v>
      </c>
      <c r="K28" s="32"/>
      <c r="L28" s="33">
        <f t="shared" si="1"/>
        <v>0</v>
      </c>
      <c r="M28" s="215"/>
      <c r="N28" s="60" t="s">
        <v>79</v>
      </c>
    </row>
    <row r="29" spans="1:16" ht="15.75">
      <c r="A29" s="11">
        <f t="shared" si="2"/>
        <v>23</v>
      </c>
      <c r="B29" s="19" t="s">
        <v>508</v>
      </c>
      <c r="C29" s="19" t="s">
        <v>942</v>
      </c>
      <c r="D29" s="19">
        <v>101057</v>
      </c>
      <c r="E29" s="118" t="s">
        <v>86</v>
      </c>
      <c r="F29" s="14">
        <v>52.5</v>
      </c>
      <c r="G29" s="74">
        <v>50</v>
      </c>
      <c r="H29" s="75">
        <v>2.5</v>
      </c>
      <c r="I29" s="14"/>
      <c r="J29" s="18">
        <f t="shared" si="0"/>
        <v>52.5</v>
      </c>
      <c r="K29" s="32"/>
      <c r="L29" s="33">
        <f t="shared" si="1"/>
        <v>0</v>
      </c>
      <c r="M29" s="215"/>
      <c r="N29" s="40"/>
    </row>
    <row r="30" spans="1:16" ht="15.75">
      <c r="A30" s="11">
        <f t="shared" si="2"/>
        <v>24</v>
      </c>
      <c r="B30" s="19" t="s">
        <v>509</v>
      </c>
      <c r="C30" s="19" t="s">
        <v>942</v>
      </c>
      <c r="D30" s="19">
        <v>101208</v>
      </c>
      <c r="E30" s="31" t="s">
        <v>510</v>
      </c>
      <c r="F30" s="14">
        <v>105</v>
      </c>
      <c r="G30" s="74">
        <v>100</v>
      </c>
      <c r="H30" s="75">
        <v>5</v>
      </c>
      <c r="I30" s="14"/>
      <c r="J30" s="18">
        <f t="shared" si="0"/>
        <v>105</v>
      </c>
      <c r="K30" s="32"/>
      <c r="L30" s="33">
        <f t="shared" si="1"/>
        <v>0</v>
      </c>
      <c r="M30" s="215"/>
      <c r="N30" s="40"/>
      <c r="P30" s="242"/>
    </row>
    <row r="31" spans="1:16" ht="15.75">
      <c r="A31" s="11">
        <f t="shared" si="2"/>
        <v>25</v>
      </c>
      <c r="B31" s="19" t="s">
        <v>511</v>
      </c>
      <c r="C31" s="19" t="s">
        <v>942</v>
      </c>
      <c r="D31" s="19">
        <v>101630</v>
      </c>
      <c r="E31" s="118" t="s">
        <v>512</v>
      </c>
      <c r="F31" s="14">
        <v>52.5</v>
      </c>
      <c r="G31" s="74">
        <v>50</v>
      </c>
      <c r="H31" s="75">
        <v>2.5</v>
      </c>
      <c r="I31" s="14"/>
      <c r="J31" s="18">
        <f t="shared" si="0"/>
        <v>52.5</v>
      </c>
      <c r="K31" s="32"/>
      <c r="L31" s="33">
        <f t="shared" si="1"/>
        <v>0</v>
      </c>
      <c r="M31" s="215"/>
      <c r="N31" s="40"/>
    </row>
    <row r="32" spans="1:16" ht="15.75">
      <c r="A32" s="11">
        <f t="shared" si="2"/>
        <v>26</v>
      </c>
      <c r="B32" s="19" t="s">
        <v>413</v>
      </c>
      <c r="C32" s="19" t="s">
        <v>942</v>
      </c>
      <c r="D32" s="19">
        <v>101754</v>
      </c>
      <c r="E32" s="31" t="s">
        <v>513</v>
      </c>
      <c r="F32" s="14">
        <v>52.5</v>
      </c>
      <c r="G32" s="74">
        <v>50</v>
      </c>
      <c r="H32" s="75">
        <v>2.5</v>
      </c>
      <c r="I32" s="14"/>
      <c r="J32" s="18">
        <f t="shared" si="0"/>
        <v>52.5</v>
      </c>
      <c r="K32" s="32"/>
      <c r="L32" s="33">
        <f t="shared" si="1"/>
        <v>0</v>
      </c>
      <c r="M32" s="215"/>
      <c r="N32" s="40"/>
    </row>
    <row r="33" spans="1:14" ht="15.75">
      <c r="A33" s="11">
        <f t="shared" si="2"/>
        <v>27</v>
      </c>
      <c r="B33" s="19" t="s">
        <v>515</v>
      </c>
      <c r="C33" s="19" t="s">
        <v>942</v>
      </c>
      <c r="D33" s="19">
        <v>101786</v>
      </c>
      <c r="E33" s="118" t="s">
        <v>516</v>
      </c>
      <c r="F33" s="14">
        <v>56.15</v>
      </c>
      <c r="G33" s="74">
        <v>50</v>
      </c>
      <c r="H33" s="75">
        <v>2.5</v>
      </c>
      <c r="I33" s="14"/>
      <c r="J33" s="18">
        <f t="shared" si="0"/>
        <v>52.5</v>
      </c>
      <c r="K33" s="32">
        <v>3.65</v>
      </c>
      <c r="L33" s="33">
        <f t="shared" si="1"/>
        <v>0</v>
      </c>
      <c r="M33" s="37" t="s">
        <v>947</v>
      </c>
      <c r="N33" s="195"/>
    </row>
    <row r="34" spans="1:14" ht="15.75">
      <c r="A34" s="11">
        <f t="shared" si="2"/>
        <v>28</v>
      </c>
      <c r="B34" s="19" t="s">
        <v>900</v>
      </c>
      <c r="C34" s="19" t="s">
        <v>942</v>
      </c>
      <c r="D34" s="19">
        <v>101755</v>
      </c>
      <c r="E34" s="31" t="s">
        <v>901</v>
      </c>
      <c r="F34" s="14">
        <v>76.48</v>
      </c>
      <c r="G34" s="74">
        <v>50</v>
      </c>
      <c r="H34" s="54">
        <v>2.5</v>
      </c>
      <c r="I34" s="14"/>
      <c r="J34" s="18">
        <f t="shared" si="0"/>
        <v>52.5</v>
      </c>
      <c r="K34" s="32">
        <v>23.98</v>
      </c>
      <c r="L34" s="33">
        <f>+(F34-((SUM(J34+K34))))</f>
        <v>0</v>
      </c>
      <c r="M34" s="37" t="s">
        <v>947</v>
      </c>
      <c r="N34" s="194"/>
    </row>
    <row r="35" spans="1:14" ht="15.75">
      <c r="A35" s="11">
        <f t="shared" si="2"/>
        <v>29</v>
      </c>
      <c r="B35" s="19" t="s">
        <v>948</v>
      </c>
      <c r="C35" s="19" t="s">
        <v>942</v>
      </c>
      <c r="D35" s="19">
        <v>105127</v>
      </c>
      <c r="E35" s="31" t="s">
        <v>949</v>
      </c>
      <c r="F35" s="14">
        <v>52.5</v>
      </c>
      <c r="G35" s="20">
        <v>50</v>
      </c>
      <c r="H35" s="21">
        <v>2.5</v>
      </c>
      <c r="I35" s="14"/>
      <c r="J35" s="18">
        <f>SUM(G35+H35+I35)</f>
        <v>52.5</v>
      </c>
      <c r="K35" s="32"/>
      <c r="L35" s="33">
        <f>+(F35-((SUM(J35+K35))))</f>
        <v>0</v>
      </c>
      <c r="M35" s="218"/>
      <c r="N35" s="6" t="s">
        <v>539</v>
      </c>
    </row>
    <row r="36" spans="1:14" ht="15.75">
      <c r="A36" s="11">
        <f t="shared" si="2"/>
        <v>30</v>
      </c>
      <c r="B36" s="55" t="s">
        <v>950</v>
      </c>
      <c r="C36" s="55" t="s">
        <v>942</v>
      </c>
      <c r="D36" s="55">
        <v>105164</v>
      </c>
      <c r="E36" s="31" t="s">
        <v>951</v>
      </c>
      <c r="F36" s="147">
        <v>52.5</v>
      </c>
      <c r="G36" s="56">
        <v>50</v>
      </c>
      <c r="H36" s="21">
        <v>2.5</v>
      </c>
      <c r="I36" s="147"/>
      <c r="J36" s="18">
        <f>SUM(G36+H36+I36)</f>
        <v>52.5</v>
      </c>
      <c r="K36" s="41"/>
      <c r="L36" s="85">
        <f>+(F36-((SUM(J36+K36))))</f>
        <v>0</v>
      </c>
      <c r="M36" s="218"/>
      <c r="N36" s="6" t="s">
        <v>542</v>
      </c>
    </row>
    <row r="37" spans="1:14" ht="15.75">
      <c r="A37" s="11">
        <f t="shared" si="2"/>
        <v>31</v>
      </c>
      <c r="B37" s="19" t="s">
        <v>517</v>
      </c>
      <c r="C37" s="19"/>
      <c r="D37" s="19"/>
      <c r="E37" s="31" t="s">
        <v>153</v>
      </c>
      <c r="F37" s="14">
        <v>52.5</v>
      </c>
      <c r="G37" s="20">
        <v>50</v>
      </c>
      <c r="H37" s="21">
        <v>2.5</v>
      </c>
      <c r="I37" s="14"/>
      <c r="J37" s="18">
        <f t="shared" si="0"/>
        <v>52.5</v>
      </c>
      <c r="K37" s="32"/>
      <c r="L37" s="33">
        <f t="shared" si="1"/>
        <v>0</v>
      </c>
      <c r="M37" s="215"/>
      <c r="N37" s="40"/>
    </row>
    <row r="38" spans="1:14" ht="15.75">
      <c r="A38" s="11">
        <f t="shared" si="2"/>
        <v>32</v>
      </c>
      <c r="B38" s="19" t="s">
        <v>403</v>
      </c>
      <c r="C38" s="19"/>
      <c r="D38" s="19"/>
      <c r="E38" s="31" t="s">
        <v>518</v>
      </c>
      <c r="F38" s="14">
        <v>52.5</v>
      </c>
      <c r="G38" s="20">
        <v>50</v>
      </c>
      <c r="H38" s="21">
        <v>2.5</v>
      </c>
      <c r="I38" s="14"/>
      <c r="J38" s="18">
        <f t="shared" si="0"/>
        <v>52.5</v>
      </c>
      <c r="K38" s="32"/>
      <c r="L38" s="33">
        <f t="shared" si="1"/>
        <v>0</v>
      </c>
      <c r="M38" s="215"/>
      <c r="N38" s="40"/>
    </row>
    <row r="39" spans="1:14" ht="15.75">
      <c r="A39" s="11">
        <f t="shared" si="2"/>
        <v>33</v>
      </c>
      <c r="B39" s="132" t="s">
        <v>519</v>
      </c>
      <c r="C39" s="197"/>
      <c r="D39" s="197"/>
      <c r="E39" s="31" t="s">
        <v>520</v>
      </c>
      <c r="F39" s="14">
        <v>52.5</v>
      </c>
      <c r="G39" s="238">
        <v>50</v>
      </c>
      <c r="H39" s="131">
        <v>2.5</v>
      </c>
      <c r="I39" s="14"/>
      <c r="J39" s="18">
        <f t="shared" si="0"/>
        <v>52.5</v>
      </c>
      <c r="K39" s="32"/>
      <c r="L39" s="33">
        <f t="shared" si="1"/>
        <v>0</v>
      </c>
      <c r="M39" s="215"/>
      <c r="N39" s="40"/>
    </row>
    <row r="40" spans="1:14" ht="15.75">
      <c r="A40" s="11">
        <f t="shared" si="2"/>
        <v>34</v>
      </c>
      <c r="B40" s="19" t="s">
        <v>523</v>
      </c>
      <c r="C40" s="19" t="s">
        <v>942</v>
      </c>
      <c r="D40" s="19">
        <v>101798</v>
      </c>
      <c r="E40" s="31" t="s">
        <v>524</v>
      </c>
      <c r="F40" s="14">
        <v>105</v>
      </c>
      <c r="G40" s="74">
        <v>100</v>
      </c>
      <c r="H40" s="54">
        <v>5</v>
      </c>
      <c r="I40" s="14"/>
      <c r="J40" s="18">
        <f t="shared" si="0"/>
        <v>105</v>
      </c>
      <c r="K40" s="32"/>
      <c r="L40" s="33">
        <f t="shared" si="1"/>
        <v>0</v>
      </c>
      <c r="M40" s="215"/>
      <c r="N40" s="195"/>
    </row>
    <row r="41" spans="1:14" ht="15.75">
      <c r="A41" s="11">
        <f t="shared" si="2"/>
        <v>35</v>
      </c>
      <c r="B41" s="19" t="s">
        <v>526</v>
      </c>
      <c r="C41" s="19" t="s">
        <v>942</v>
      </c>
      <c r="D41" s="19">
        <v>101859</v>
      </c>
      <c r="E41" s="118" t="s">
        <v>74</v>
      </c>
      <c r="F41" s="14">
        <v>97.37</v>
      </c>
      <c r="G41" s="74">
        <v>50</v>
      </c>
      <c r="H41" s="75">
        <v>2.5</v>
      </c>
      <c r="I41" s="14">
        <v>44.87</v>
      </c>
      <c r="J41" s="18">
        <f t="shared" si="0"/>
        <v>97.37</v>
      </c>
      <c r="K41" s="32"/>
      <c r="L41" s="33">
        <f t="shared" si="1"/>
        <v>0</v>
      </c>
      <c r="M41" s="215"/>
      <c r="N41" s="194"/>
    </row>
    <row r="42" spans="1:14" ht="15.75">
      <c r="A42" s="11">
        <f t="shared" si="2"/>
        <v>36</v>
      </c>
      <c r="B42" s="19" t="s">
        <v>527</v>
      </c>
      <c r="C42" s="19" t="s">
        <v>942</v>
      </c>
      <c r="D42" s="19">
        <v>101564</v>
      </c>
      <c r="E42" s="31" t="s">
        <v>528</v>
      </c>
      <c r="F42" s="14">
        <v>210</v>
      </c>
      <c r="G42" s="74">
        <v>200</v>
      </c>
      <c r="H42" s="75">
        <v>10</v>
      </c>
      <c r="I42" s="14"/>
      <c r="J42" s="18">
        <f t="shared" si="0"/>
        <v>210</v>
      </c>
      <c r="K42" s="32"/>
      <c r="L42" s="33">
        <f t="shared" si="1"/>
        <v>0</v>
      </c>
      <c r="M42" s="215"/>
      <c r="N42" s="6" t="s">
        <v>557</v>
      </c>
    </row>
    <row r="43" spans="1:14" ht="15.75">
      <c r="A43" s="11">
        <f t="shared" si="2"/>
        <v>37</v>
      </c>
      <c r="B43" s="19" t="s">
        <v>529</v>
      </c>
      <c r="C43" s="19" t="s">
        <v>942</v>
      </c>
      <c r="D43" s="19">
        <v>101748</v>
      </c>
      <c r="E43" s="31" t="s">
        <v>530</v>
      </c>
      <c r="F43" s="14">
        <v>52.5</v>
      </c>
      <c r="G43" s="74">
        <v>50</v>
      </c>
      <c r="H43" s="75">
        <v>2.5</v>
      </c>
      <c r="I43" s="14"/>
      <c r="J43" s="18">
        <f t="shared" si="0"/>
        <v>52.5</v>
      </c>
      <c r="K43" s="32"/>
      <c r="L43" s="33">
        <f t="shared" si="1"/>
        <v>0</v>
      </c>
      <c r="M43" s="215"/>
      <c r="N43" s="6" t="s">
        <v>559</v>
      </c>
    </row>
    <row r="44" spans="1:14" ht="15.75">
      <c r="A44" s="11">
        <f t="shared" si="2"/>
        <v>38</v>
      </c>
      <c r="B44" s="19" t="s">
        <v>531</v>
      </c>
      <c r="C44" s="19" t="s">
        <v>942</v>
      </c>
      <c r="D44" s="19">
        <v>101608</v>
      </c>
      <c r="E44" s="118" t="s">
        <v>532</v>
      </c>
      <c r="F44" s="14">
        <v>188.45</v>
      </c>
      <c r="G44" s="74">
        <v>50</v>
      </c>
      <c r="H44" s="75">
        <v>2.5</v>
      </c>
      <c r="I44" s="14">
        <v>135.94999999999999</v>
      </c>
      <c r="J44" s="18">
        <f t="shared" si="0"/>
        <v>188.45</v>
      </c>
      <c r="K44" s="32"/>
      <c r="L44" s="33">
        <f t="shared" si="1"/>
        <v>0</v>
      </c>
      <c r="M44" s="215"/>
      <c r="N44" s="6"/>
    </row>
    <row r="45" spans="1:14" ht="15.75">
      <c r="A45" s="11">
        <f t="shared" si="2"/>
        <v>39</v>
      </c>
      <c r="B45" s="19" t="s">
        <v>533</v>
      </c>
      <c r="C45" s="19" t="s">
        <v>942</v>
      </c>
      <c r="D45" s="19">
        <v>101845</v>
      </c>
      <c r="E45" s="31" t="s">
        <v>534</v>
      </c>
      <c r="F45" s="14">
        <v>226.47</v>
      </c>
      <c r="G45" s="53">
        <v>200</v>
      </c>
      <c r="H45" s="54">
        <v>10</v>
      </c>
      <c r="I45" s="14">
        <v>16.47</v>
      </c>
      <c r="J45" s="18">
        <f t="shared" si="0"/>
        <v>226.47</v>
      </c>
      <c r="K45" s="32"/>
      <c r="L45" s="33">
        <f t="shared" si="1"/>
        <v>0</v>
      </c>
      <c r="M45" s="215"/>
    </row>
    <row r="46" spans="1:14" ht="15.75">
      <c r="A46" s="11">
        <f t="shared" si="2"/>
        <v>40</v>
      </c>
      <c r="B46" s="19" t="s">
        <v>535</v>
      </c>
      <c r="C46" s="19" t="s">
        <v>942</v>
      </c>
      <c r="D46" s="19">
        <v>101022</v>
      </c>
      <c r="E46" s="31" t="s">
        <v>185</v>
      </c>
      <c r="F46" s="14">
        <v>152.36000000000001</v>
      </c>
      <c r="G46" s="20">
        <v>100</v>
      </c>
      <c r="H46" s="21">
        <v>5</v>
      </c>
      <c r="I46" s="14">
        <v>47.36</v>
      </c>
      <c r="J46" s="18">
        <f t="shared" si="0"/>
        <v>152.36000000000001</v>
      </c>
      <c r="K46" s="32"/>
      <c r="L46" s="33">
        <f t="shared" si="1"/>
        <v>0</v>
      </c>
      <c r="M46" s="215"/>
    </row>
    <row r="47" spans="1:14" ht="15.75">
      <c r="A47" s="11">
        <f t="shared" si="2"/>
        <v>41</v>
      </c>
      <c r="B47" s="19" t="s">
        <v>536</v>
      </c>
      <c r="C47" s="19" t="s">
        <v>942</v>
      </c>
      <c r="D47" s="19">
        <v>101864</v>
      </c>
      <c r="E47" s="31" t="s">
        <v>537</v>
      </c>
      <c r="F47" s="14">
        <v>52.5</v>
      </c>
      <c r="G47" s="74">
        <v>50</v>
      </c>
      <c r="H47" s="75">
        <v>2.5</v>
      </c>
      <c r="I47" s="14"/>
      <c r="J47" s="18">
        <f t="shared" si="0"/>
        <v>52.5</v>
      </c>
      <c r="K47" s="32"/>
      <c r="L47" s="33">
        <f t="shared" si="1"/>
        <v>0</v>
      </c>
      <c r="M47" s="215"/>
    </row>
    <row r="48" spans="1:14" ht="15.75">
      <c r="A48" s="11">
        <f t="shared" si="2"/>
        <v>42</v>
      </c>
      <c r="B48" s="19" t="s">
        <v>538</v>
      </c>
      <c r="C48" s="19" t="s">
        <v>942</v>
      </c>
      <c r="D48" s="19">
        <v>101429</v>
      </c>
      <c r="E48" s="31" t="s">
        <v>165</v>
      </c>
      <c r="F48" s="14">
        <v>52.5</v>
      </c>
      <c r="G48" s="20">
        <v>50</v>
      </c>
      <c r="H48" s="21">
        <v>2.5</v>
      </c>
      <c r="I48" s="14"/>
      <c r="J48" s="18">
        <f t="shared" si="0"/>
        <v>52.5</v>
      </c>
      <c r="K48" s="32"/>
      <c r="L48" s="33">
        <f t="shared" si="1"/>
        <v>0</v>
      </c>
      <c r="M48" s="215"/>
    </row>
    <row r="49" spans="1:14" ht="15.75">
      <c r="A49" s="11">
        <f t="shared" si="2"/>
        <v>43</v>
      </c>
      <c r="B49" s="19" t="s">
        <v>540</v>
      </c>
      <c r="C49" s="19" t="s">
        <v>942</v>
      </c>
      <c r="D49" s="19">
        <v>101790</v>
      </c>
      <c r="E49" s="31" t="s">
        <v>541</v>
      </c>
      <c r="F49" s="14">
        <v>58.58</v>
      </c>
      <c r="G49" s="74">
        <v>50</v>
      </c>
      <c r="H49" s="54">
        <v>2.5</v>
      </c>
      <c r="I49" s="14"/>
      <c r="J49" s="18">
        <f t="shared" si="0"/>
        <v>52.5</v>
      </c>
      <c r="K49" s="32">
        <v>6.08</v>
      </c>
      <c r="L49" s="33">
        <f t="shared" si="1"/>
        <v>0</v>
      </c>
      <c r="M49" s="37" t="s">
        <v>952</v>
      </c>
    </row>
    <row r="50" spans="1:14" ht="15.75">
      <c r="A50" s="11">
        <f t="shared" si="2"/>
        <v>44</v>
      </c>
      <c r="B50" s="19" t="s">
        <v>545</v>
      </c>
      <c r="C50" s="19" t="s">
        <v>942</v>
      </c>
      <c r="D50" s="19">
        <v>101848</v>
      </c>
      <c r="E50" s="118" t="s">
        <v>546</v>
      </c>
      <c r="F50" s="14">
        <v>101.33</v>
      </c>
      <c r="G50" s="74">
        <v>50</v>
      </c>
      <c r="H50" s="75">
        <v>2.5</v>
      </c>
      <c r="I50" s="14">
        <v>48.83</v>
      </c>
      <c r="J50" s="18">
        <f t="shared" si="0"/>
        <v>101.33</v>
      </c>
      <c r="K50" s="32"/>
      <c r="L50" s="33">
        <f t="shared" si="1"/>
        <v>0</v>
      </c>
      <c r="M50" s="215"/>
    </row>
    <row r="51" spans="1:14" ht="15.75">
      <c r="A51" s="11">
        <f t="shared" si="2"/>
        <v>45</v>
      </c>
      <c r="B51" s="19" t="s">
        <v>547</v>
      </c>
      <c r="C51" s="19" t="s">
        <v>942</v>
      </c>
      <c r="D51" s="19">
        <v>101567</v>
      </c>
      <c r="E51" s="31" t="s">
        <v>548</v>
      </c>
      <c r="F51" s="14">
        <v>52.5</v>
      </c>
      <c r="G51" s="20">
        <v>50</v>
      </c>
      <c r="H51" s="21">
        <v>2.5</v>
      </c>
      <c r="I51" s="14"/>
      <c r="J51" s="18">
        <f t="shared" si="0"/>
        <v>52.5</v>
      </c>
      <c r="K51" s="32"/>
      <c r="L51" s="33">
        <f t="shared" si="1"/>
        <v>0</v>
      </c>
      <c r="M51" s="37"/>
    </row>
    <row r="52" spans="1:14" ht="15.75">
      <c r="A52" s="11">
        <f t="shared" si="2"/>
        <v>46</v>
      </c>
      <c r="B52" s="19" t="s">
        <v>549</v>
      </c>
      <c r="C52" s="19" t="s">
        <v>942</v>
      </c>
      <c r="D52" s="19">
        <v>101739</v>
      </c>
      <c r="E52" s="118" t="s">
        <v>550</v>
      </c>
      <c r="F52" s="14">
        <v>52.5</v>
      </c>
      <c r="G52" s="74">
        <v>50</v>
      </c>
      <c r="H52" s="75">
        <v>2.5</v>
      </c>
      <c r="I52" s="14"/>
      <c r="J52" s="18">
        <f t="shared" si="0"/>
        <v>52.5</v>
      </c>
      <c r="K52" s="32"/>
      <c r="L52" s="33">
        <f t="shared" si="1"/>
        <v>0</v>
      </c>
      <c r="M52" s="215"/>
    </row>
    <row r="53" spans="1:14" ht="15.75">
      <c r="A53" s="11">
        <f t="shared" si="2"/>
        <v>47</v>
      </c>
      <c r="B53" s="19" t="s">
        <v>551</v>
      </c>
      <c r="C53" s="19" t="s">
        <v>942</v>
      </c>
      <c r="D53" s="19">
        <v>101872</v>
      </c>
      <c r="E53" s="118" t="s">
        <v>552</v>
      </c>
      <c r="F53" s="14">
        <v>52.5</v>
      </c>
      <c r="G53" s="74">
        <v>50</v>
      </c>
      <c r="H53" s="75">
        <v>2.5</v>
      </c>
      <c r="I53" s="14"/>
      <c r="J53" s="18">
        <f t="shared" si="0"/>
        <v>52.5</v>
      </c>
      <c r="K53" s="32"/>
      <c r="L53" s="33">
        <f t="shared" si="1"/>
        <v>0</v>
      </c>
      <c r="M53" s="37"/>
    </row>
    <row r="54" spans="1:14" ht="15.75">
      <c r="A54" s="11">
        <f t="shared" si="2"/>
        <v>48</v>
      </c>
      <c r="B54" s="19" t="s">
        <v>553</v>
      </c>
      <c r="C54" s="19" t="s">
        <v>942</v>
      </c>
      <c r="D54" s="19">
        <v>101780</v>
      </c>
      <c r="E54" s="118" t="s">
        <v>554</v>
      </c>
      <c r="F54" s="14">
        <v>52.5</v>
      </c>
      <c r="G54" s="74">
        <v>50</v>
      </c>
      <c r="H54" s="75">
        <v>2.5</v>
      </c>
      <c r="I54" s="14"/>
      <c r="J54" s="18">
        <f t="shared" si="0"/>
        <v>52.5</v>
      </c>
      <c r="K54" s="32"/>
      <c r="L54" s="33">
        <f t="shared" si="1"/>
        <v>0</v>
      </c>
      <c r="M54" s="37"/>
    </row>
    <row r="55" spans="1:14" ht="15.75">
      <c r="A55" s="11">
        <f t="shared" si="2"/>
        <v>49</v>
      </c>
      <c r="B55" s="116" t="s">
        <v>555</v>
      </c>
      <c r="C55" s="19" t="s">
        <v>942</v>
      </c>
      <c r="D55" s="19">
        <v>105063</v>
      </c>
      <c r="E55" s="31" t="s">
        <v>556</v>
      </c>
      <c r="F55" s="14">
        <v>52.5</v>
      </c>
      <c r="G55" s="74">
        <v>50</v>
      </c>
      <c r="H55" s="54">
        <v>2.5</v>
      </c>
      <c r="I55" s="14"/>
      <c r="J55" s="18">
        <f t="shared" si="0"/>
        <v>52.5</v>
      </c>
      <c r="K55" s="32"/>
      <c r="L55" s="33">
        <f t="shared" si="1"/>
        <v>0</v>
      </c>
      <c r="M55" s="215"/>
    </row>
    <row r="56" spans="1:14" ht="15.75">
      <c r="A56" s="11">
        <f t="shared" si="2"/>
        <v>50</v>
      </c>
      <c r="B56" s="30" t="s">
        <v>558</v>
      </c>
      <c r="C56" s="19" t="s">
        <v>942</v>
      </c>
      <c r="D56" s="19">
        <v>101451</v>
      </c>
      <c r="E56" s="84" t="s">
        <v>125</v>
      </c>
      <c r="F56" s="14">
        <v>333.53</v>
      </c>
      <c r="G56" s="74">
        <v>100</v>
      </c>
      <c r="H56" s="75">
        <v>5</v>
      </c>
      <c r="I56" s="249"/>
      <c r="J56" s="18">
        <f t="shared" si="0"/>
        <v>105</v>
      </c>
      <c r="K56" s="35">
        <v>228.53</v>
      </c>
      <c r="L56" s="36">
        <f t="shared" si="1"/>
        <v>0</v>
      </c>
      <c r="M56" s="37" t="s">
        <v>947</v>
      </c>
    </row>
    <row r="57" spans="1:14" ht="18.75" customHeight="1">
      <c r="A57" s="11">
        <f t="shared" si="2"/>
        <v>51</v>
      </c>
      <c r="B57" s="19" t="s">
        <v>560</v>
      </c>
      <c r="C57" s="19" t="s">
        <v>942</v>
      </c>
      <c r="D57" s="19">
        <v>101760</v>
      </c>
      <c r="E57" s="31" t="s">
        <v>561</v>
      </c>
      <c r="F57" s="14">
        <v>52.5</v>
      </c>
      <c r="G57" s="74">
        <v>50</v>
      </c>
      <c r="H57" s="75">
        <v>2.5</v>
      </c>
      <c r="I57" s="14"/>
      <c r="J57" s="18">
        <f t="shared" si="0"/>
        <v>52.5</v>
      </c>
      <c r="K57" s="32"/>
      <c r="L57" s="33">
        <f t="shared" si="1"/>
        <v>0</v>
      </c>
      <c r="M57" s="215"/>
    </row>
    <row r="58" spans="1:14" ht="17.25" customHeight="1">
      <c r="A58" s="11">
        <f t="shared" si="2"/>
        <v>52</v>
      </c>
      <c r="B58" s="19" t="s">
        <v>562</v>
      </c>
      <c r="C58" s="19" t="s">
        <v>942</v>
      </c>
      <c r="D58" s="19">
        <v>101575</v>
      </c>
      <c r="E58" s="31" t="s">
        <v>563</v>
      </c>
      <c r="F58" s="14">
        <v>52.5</v>
      </c>
      <c r="G58" s="20">
        <v>50</v>
      </c>
      <c r="H58" s="75">
        <v>2.5</v>
      </c>
      <c r="I58" s="14"/>
      <c r="J58" s="18">
        <f t="shared" si="0"/>
        <v>52.5</v>
      </c>
      <c r="K58" s="32"/>
      <c r="L58" s="33">
        <f t="shared" si="1"/>
        <v>0</v>
      </c>
      <c r="M58" s="215"/>
      <c r="N58" s="6"/>
    </row>
    <row r="59" spans="1:14" ht="16.5" customHeight="1">
      <c r="A59" s="11">
        <f t="shared" si="2"/>
        <v>53</v>
      </c>
      <c r="B59" s="19" t="s">
        <v>564</v>
      </c>
      <c r="C59" s="19" t="s">
        <v>942</v>
      </c>
      <c r="D59" s="19">
        <v>101852</v>
      </c>
      <c r="E59" s="31" t="s">
        <v>307</v>
      </c>
      <c r="F59" s="14">
        <v>105</v>
      </c>
      <c r="G59" s="53">
        <v>100</v>
      </c>
      <c r="H59" s="54">
        <v>5</v>
      </c>
      <c r="I59" s="248"/>
      <c r="J59" s="18">
        <f t="shared" si="0"/>
        <v>105</v>
      </c>
      <c r="K59" s="61"/>
      <c r="L59" s="33">
        <f>+(F59-((SUM(J59+K59))))</f>
        <v>0</v>
      </c>
      <c r="M59" s="37"/>
      <c r="N59" s="6"/>
    </row>
    <row r="60" spans="1:14" ht="15.75">
      <c r="A60" s="11">
        <f t="shared" si="2"/>
        <v>54</v>
      </c>
      <c r="B60" s="30" t="s">
        <v>565</v>
      </c>
      <c r="C60" s="19" t="s">
        <v>942</v>
      </c>
      <c r="D60" s="19">
        <v>101622</v>
      </c>
      <c r="E60" s="50" t="s">
        <v>566</v>
      </c>
      <c r="F60" s="14">
        <v>52.5</v>
      </c>
      <c r="G60" s="74">
        <v>50</v>
      </c>
      <c r="H60" s="75">
        <v>2.5</v>
      </c>
      <c r="I60" s="249"/>
      <c r="J60" s="18">
        <f t="shared" si="0"/>
        <v>52.5</v>
      </c>
      <c r="K60" s="35"/>
      <c r="L60" s="36">
        <f t="shared" si="1"/>
        <v>0</v>
      </c>
      <c r="M60" s="215"/>
      <c r="N60" s="6"/>
    </row>
    <row r="61" spans="1:14" ht="15.75">
      <c r="A61" s="11">
        <f t="shared" si="2"/>
        <v>55</v>
      </c>
      <c r="B61" s="30" t="s">
        <v>572</v>
      </c>
      <c r="C61" s="30"/>
      <c r="D61" s="30">
        <v>105122</v>
      </c>
      <c r="E61" s="50" t="s">
        <v>953</v>
      </c>
      <c r="F61" s="14">
        <v>52.5</v>
      </c>
      <c r="G61" s="74">
        <v>50</v>
      </c>
      <c r="H61" s="75">
        <v>2.5</v>
      </c>
      <c r="I61" s="249"/>
      <c r="J61" s="18">
        <f t="shared" si="0"/>
        <v>52.5</v>
      </c>
      <c r="K61" s="35"/>
      <c r="L61" s="36">
        <f t="shared" si="1"/>
        <v>0</v>
      </c>
      <c r="M61" s="215"/>
      <c r="N61" s="6"/>
    </row>
    <row r="62" spans="1:14" ht="15.75">
      <c r="A62" s="11">
        <f t="shared" si="2"/>
        <v>56</v>
      </c>
      <c r="B62" s="19" t="s">
        <v>60</v>
      </c>
      <c r="C62" s="19"/>
      <c r="D62" s="19">
        <v>101744</v>
      </c>
      <c r="E62" s="31" t="s">
        <v>62</v>
      </c>
      <c r="F62" s="14">
        <v>72.069999999999993</v>
      </c>
      <c r="G62" s="53">
        <v>50</v>
      </c>
      <c r="H62" s="54">
        <v>2.5</v>
      </c>
      <c r="I62" s="14">
        <v>19.57</v>
      </c>
      <c r="J62" s="18">
        <f t="shared" si="0"/>
        <v>72.069999999999993</v>
      </c>
      <c r="K62" s="32"/>
      <c r="L62" s="33">
        <f t="shared" si="1"/>
        <v>0</v>
      </c>
      <c r="M62" s="215"/>
      <c r="N62" s="6"/>
    </row>
    <row r="63" spans="1:14" ht="15.75">
      <c r="A63" s="11">
        <f t="shared" si="2"/>
        <v>57</v>
      </c>
      <c r="B63" s="19" t="s">
        <v>576</v>
      </c>
      <c r="C63" s="19"/>
      <c r="D63" s="19">
        <v>101501</v>
      </c>
      <c r="E63" s="118" t="s">
        <v>577</v>
      </c>
      <c r="F63" s="14">
        <v>52.5</v>
      </c>
      <c r="G63" s="74">
        <v>50</v>
      </c>
      <c r="H63" s="75">
        <v>2.5</v>
      </c>
      <c r="I63" s="14"/>
      <c r="J63" s="18">
        <f t="shared" si="0"/>
        <v>52.5</v>
      </c>
      <c r="K63" s="32"/>
      <c r="L63" s="33">
        <f t="shared" si="1"/>
        <v>0</v>
      </c>
      <c r="M63" s="215"/>
      <c r="N63" s="6"/>
    </row>
    <row r="64" spans="1:14" ht="15.75">
      <c r="A64" s="11">
        <f t="shared" si="2"/>
        <v>58</v>
      </c>
      <c r="B64" s="19" t="s">
        <v>578</v>
      </c>
      <c r="C64" s="19"/>
      <c r="D64" s="19">
        <v>101574</v>
      </c>
      <c r="E64" s="118" t="s">
        <v>579</v>
      </c>
      <c r="F64" s="14">
        <v>105</v>
      </c>
      <c r="G64" s="20">
        <v>100</v>
      </c>
      <c r="H64" s="21">
        <v>5</v>
      </c>
      <c r="I64" s="248"/>
      <c r="J64" s="18">
        <f t="shared" si="0"/>
        <v>105</v>
      </c>
      <c r="K64" s="32"/>
      <c r="L64" s="33">
        <f t="shared" si="1"/>
        <v>0</v>
      </c>
      <c r="M64" s="37"/>
      <c r="N64" s="6"/>
    </row>
    <row r="65" spans="1:14" ht="15.75">
      <c r="A65" s="11">
        <f t="shared" si="2"/>
        <v>59</v>
      </c>
      <c r="B65" s="19" t="s">
        <v>582</v>
      </c>
      <c r="C65" s="19"/>
      <c r="D65" s="19">
        <v>101885</v>
      </c>
      <c r="E65" s="31" t="s">
        <v>583</v>
      </c>
      <c r="F65" s="14">
        <v>52.5</v>
      </c>
      <c r="G65" s="74">
        <v>50</v>
      </c>
      <c r="H65" s="54">
        <v>2.5</v>
      </c>
      <c r="I65" s="14"/>
      <c r="J65" s="18">
        <f t="shared" si="0"/>
        <v>52.5</v>
      </c>
      <c r="K65" s="32"/>
      <c r="L65" s="33">
        <f t="shared" si="1"/>
        <v>0</v>
      </c>
      <c r="M65" s="215"/>
      <c r="N65" s="6"/>
    </row>
    <row r="66" spans="1:14" ht="15.75">
      <c r="A66" s="11">
        <f t="shared" si="2"/>
        <v>60</v>
      </c>
      <c r="B66" s="116" t="s">
        <v>584</v>
      </c>
      <c r="C66" s="19"/>
      <c r="D66" s="19">
        <v>101867</v>
      </c>
      <c r="E66" s="31" t="s">
        <v>585</v>
      </c>
      <c r="F66" s="14">
        <v>52.5</v>
      </c>
      <c r="G66" s="74">
        <v>50</v>
      </c>
      <c r="H66" s="54">
        <v>2.5</v>
      </c>
      <c r="I66" s="14"/>
      <c r="J66" s="18">
        <f t="shared" si="0"/>
        <v>52.5</v>
      </c>
      <c r="K66" s="32"/>
      <c r="L66" s="33">
        <f t="shared" si="1"/>
        <v>0</v>
      </c>
      <c r="M66" s="215"/>
      <c r="N66" s="6"/>
    </row>
    <row r="67" spans="1:14" ht="15.75">
      <c r="A67" s="11">
        <f t="shared" si="2"/>
        <v>61</v>
      </c>
      <c r="B67" s="19" t="s">
        <v>586</v>
      </c>
      <c r="C67" s="19"/>
      <c r="D67" s="19">
        <v>101890</v>
      </c>
      <c r="E67" s="31" t="s">
        <v>587</v>
      </c>
      <c r="F67" s="14">
        <v>52.5</v>
      </c>
      <c r="G67" s="74">
        <v>50</v>
      </c>
      <c r="H67" s="54">
        <v>2.5</v>
      </c>
      <c r="I67" s="14"/>
      <c r="J67" s="18">
        <f t="shared" si="0"/>
        <v>52.5</v>
      </c>
      <c r="K67" s="32"/>
      <c r="L67" s="33">
        <f>+(F67-((SUM(J67+K67))))</f>
        <v>0</v>
      </c>
      <c r="M67" s="215"/>
      <c r="N67" s="6"/>
    </row>
    <row r="68" spans="1:14" ht="15.75">
      <c r="A68" s="11">
        <f t="shared" si="2"/>
        <v>62</v>
      </c>
      <c r="B68" s="116" t="s">
        <v>588</v>
      </c>
      <c r="C68" s="19"/>
      <c r="D68" s="19">
        <v>101912</v>
      </c>
      <c r="E68" s="31" t="s">
        <v>589</v>
      </c>
      <c r="F68" s="14">
        <v>52.5</v>
      </c>
      <c r="G68" s="74">
        <v>50</v>
      </c>
      <c r="H68" s="54">
        <v>2.5</v>
      </c>
      <c r="I68" s="14"/>
      <c r="J68" s="18">
        <f t="shared" si="0"/>
        <v>52.5</v>
      </c>
      <c r="K68" s="32"/>
      <c r="L68" s="33">
        <f>+(F68-((SUM(J68+K68))))</f>
        <v>0</v>
      </c>
      <c r="M68" s="37"/>
      <c r="N68" s="6"/>
    </row>
    <row r="69" spans="1:14" ht="15" customHeight="1">
      <c r="A69" s="11">
        <f t="shared" si="2"/>
        <v>63</v>
      </c>
      <c r="B69" s="132" t="s">
        <v>590</v>
      </c>
      <c r="C69" s="19"/>
      <c r="D69" s="19">
        <v>101909</v>
      </c>
      <c r="E69" s="31" t="s">
        <v>591</v>
      </c>
      <c r="F69" s="14">
        <v>52.5</v>
      </c>
      <c r="G69" s="238">
        <v>50</v>
      </c>
      <c r="H69" s="131">
        <v>2.5</v>
      </c>
      <c r="I69" s="14"/>
      <c r="J69" s="18">
        <f t="shared" ref="J69:J135" si="3">SUM(G69+H69+I69)</f>
        <v>52.5</v>
      </c>
      <c r="K69" s="32"/>
      <c r="L69" s="33">
        <f>+(F69-((SUM(J69+K69))))</f>
        <v>0</v>
      </c>
      <c r="M69" s="215"/>
      <c r="N69" s="6"/>
    </row>
    <row r="70" spans="1:14" ht="15.75">
      <c r="A70" s="11">
        <f t="shared" si="2"/>
        <v>64</v>
      </c>
      <c r="B70" s="116" t="s">
        <v>592</v>
      </c>
      <c r="C70" s="19"/>
      <c r="D70" s="19">
        <v>101871</v>
      </c>
      <c r="E70" s="31" t="s">
        <v>593</v>
      </c>
      <c r="F70" s="14">
        <v>52.5</v>
      </c>
      <c r="G70" s="74">
        <v>50</v>
      </c>
      <c r="H70" s="54">
        <v>2.5</v>
      </c>
      <c r="I70" s="14"/>
      <c r="J70" s="18">
        <f t="shared" si="3"/>
        <v>52.5</v>
      </c>
      <c r="K70" s="32"/>
      <c r="L70" s="33">
        <f>+(F70-((SUM(J70+K70))))</f>
        <v>0</v>
      </c>
      <c r="M70" s="215"/>
      <c r="N70" s="6"/>
    </row>
    <row r="71" spans="1:14" ht="15.75">
      <c r="A71" s="11">
        <f t="shared" si="2"/>
        <v>65</v>
      </c>
      <c r="B71" s="19" t="s">
        <v>50</v>
      </c>
      <c r="C71" s="19"/>
      <c r="D71" s="19"/>
      <c r="E71" s="31" t="s">
        <v>594</v>
      </c>
      <c r="F71" s="14">
        <v>52.5</v>
      </c>
      <c r="G71" s="53">
        <v>50</v>
      </c>
      <c r="H71" s="54">
        <v>2.5</v>
      </c>
      <c r="I71" s="249"/>
      <c r="J71" s="18">
        <f t="shared" si="3"/>
        <v>52.5</v>
      </c>
      <c r="K71" s="32"/>
      <c r="L71" s="33">
        <f t="shared" ref="L71:L101" si="4">+(F71-((SUM(J71+K71))))</f>
        <v>0</v>
      </c>
      <c r="M71" s="215"/>
      <c r="N71" s="6"/>
    </row>
    <row r="72" spans="1:14" ht="15.75">
      <c r="A72" s="11">
        <f t="shared" si="2"/>
        <v>66</v>
      </c>
      <c r="B72" s="19" t="s">
        <v>8</v>
      </c>
      <c r="C72" s="30"/>
      <c r="D72" s="30"/>
      <c r="E72" s="50" t="s">
        <v>10</v>
      </c>
      <c r="F72" s="14">
        <v>52.5</v>
      </c>
      <c r="G72" s="20">
        <v>50</v>
      </c>
      <c r="H72" s="21">
        <v>2.5</v>
      </c>
      <c r="I72" s="14"/>
      <c r="J72" s="18">
        <f t="shared" si="3"/>
        <v>52.5</v>
      </c>
      <c r="K72" s="32"/>
      <c r="L72" s="33">
        <f t="shared" si="4"/>
        <v>0</v>
      </c>
      <c r="M72" s="215"/>
      <c r="N72" s="6"/>
    </row>
    <row r="73" spans="1:14" ht="15.75">
      <c r="A73" s="11">
        <f t="shared" ref="A73:A136" si="5">1+A72</f>
        <v>67</v>
      </c>
      <c r="B73" s="19" t="s">
        <v>595</v>
      </c>
      <c r="C73" s="19"/>
      <c r="D73" s="19"/>
      <c r="E73" s="31" t="s">
        <v>596</v>
      </c>
      <c r="F73" s="14">
        <v>9.32</v>
      </c>
      <c r="G73" s="74">
        <v>8.57</v>
      </c>
      <c r="H73" s="54">
        <v>0.75</v>
      </c>
      <c r="I73" s="14"/>
      <c r="J73" s="18">
        <f t="shared" si="3"/>
        <v>9.32</v>
      </c>
      <c r="K73" s="32"/>
      <c r="L73" s="33">
        <f t="shared" si="4"/>
        <v>0</v>
      </c>
      <c r="M73" s="215"/>
      <c r="N73" s="6"/>
    </row>
    <row r="74" spans="1:14" ht="15.75">
      <c r="A74" s="11">
        <f t="shared" si="5"/>
        <v>68</v>
      </c>
      <c r="B74" s="19" t="s">
        <v>597</v>
      </c>
      <c r="C74" s="211"/>
      <c r="D74" s="211"/>
      <c r="E74" s="310" t="s">
        <v>954</v>
      </c>
      <c r="F74" s="14">
        <v>105</v>
      </c>
      <c r="G74" s="53">
        <v>100</v>
      </c>
      <c r="H74" s="54">
        <v>5</v>
      </c>
      <c r="I74" s="14"/>
      <c r="J74" s="18">
        <f t="shared" si="3"/>
        <v>105</v>
      </c>
      <c r="K74" s="32"/>
      <c r="L74" s="33">
        <f>+(F74-((SUM(J74+K74))))</f>
        <v>0</v>
      </c>
      <c r="M74" s="215"/>
      <c r="N74" s="40"/>
    </row>
    <row r="75" spans="1:14" ht="15.75">
      <c r="A75" s="11">
        <f t="shared" si="5"/>
        <v>69</v>
      </c>
      <c r="B75" s="116" t="s">
        <v>599</v>
      </c>
      <c r="C75" s="19"/>
      <c r="D75" s="19"/>
      <c r="E75" s="31" t="s">
        <v>600</v>
      </c>
      <c r="F75" s="14">
        <v>52.5</v>
      </c>
      <c r="G75" s="74">
        <v>50</v>
      </c>
      <c r="H75" s="54">
        <v>2.5</v>
      </c>
      <c r="I75" s="14"/>
      <c r="J75" s="18">
        <f t="shared" si="3"/>
        <v>52.5</v>
      </c>
      <c r="K75" s="32"/>
      <c r="L75" s="33">
        <f t="shared" si="4"/>
        <v>0</v>
      </c>
      <c r="M75" s="215"/>
      <c r="N75" s="6"/>
    </row>
    <row r="76" spans="1:14" ht="15.75">
      <c r="A76" s="11">
        <f t="shared" si="5"/>
        <v>70</v>
      </c>
      <c r="B76" s="19" t="s">
        <v>601</v>
      </c>
      <c r="C76" s="19"/>
      <c r="D76" s="19"/>
      <c r="E76" s="117" t="s">
        <v>602</v>
      </c>
      <c r="F76" s="14">
        <v>52.5</v>
      </c>
      <c r="G76" s="53">
        <v>50</v>
      </c>
      <c r="H76" s="54">
        <v>2.5</v>
      </c>
      <c r="I76" s="14"/>
      <c r="J76" s="18">
        <f t="shared" si="3"/>
        <v>52.5</v>
      </c>
      <c r="K76" s="32"/>
      <c r="L76" s="33">
        <f t="shared" si="4"/>
        <v>0</v>
      </c>
      <c r="M76" s="215"/>
      <c r="N76" s="6"/>
    </row>
    <row r="77" spans="1:14" ht="15.75">
      <c r="A77" s="11">
        <f t="shared" si="5"/>
        <v>71</v>
      </c>
      <c r="B77" s="116" t="s">
        <v>603</v>
      </c>
      <c r="C77" s="19"/>
      <c r="D77" s="19">
        <v>101863</v>
      </c>
      <c r="E77" s="31" t="s">
        <v>604</v>
      </c>
      <c r="F77" s="14">
        <v>52.5</v>
      </c>
      <c r="G77" s="74">
        <v>50</v>
      </c>
      <c r="H77" s="54">
        <v>2.5</v>
      </c>
      <c r="I77" s="14"/>
      <c r="J77" s="18">
        <f t="shared" si="3"/>
        <v>52.5</v>
      </c>
      <c r="K77" s="32"/>
      <c r="L77" s="33">
        <f t="shared" si="4"/>
        <v>0</v>
      </c>
      <c r="M77" s="215"/>
      <c r="N77" s="6"/>
    </row>
    <row r="78" spans="1:14" ht="15.75">
      <c r="A78" s="11">
        <f t="shared" si="5"/>
        <v>72</v>
      </c>
      <c r="B78" s="19" t="s">
        <v>66</v>
      </c>
      <c r="C78" s="19"/>
      <c r="D78" s="19">
        <v>105120</v>
      </c>
      <c r="E78" s="31" t="s">
        <v>605</v>
      </c>
      <c r="F78" s="14">
        <v>124.91</v>
      </c>
      <c r="G78" s="53">
        <v>50</v>
      </c>
      <c r="H78" s="54">
        <v>3.15</v>
      </c>
      <c r="I78" s="14">
        <v>71.760000000000005</v>
      </c>
      <c r="J78" s="18">
        <f t="shared" si="3"/>
        <v>124.91</v>
      </c>
      <c r="K78" s="32"/>
      <c r="L78" s="33">
        <f t="shared" si="4"/>
        <v>0</v>
      </c>
      <c r="M78" s="215"/>
      <c r="N78" s="6"/>
    </row>
    <row r="79" spans="1:14" ht="15.75">
      <c r="A79" s="11">
        <f t="shared" si="5"/>
        <v>73</v>
      </c>
      <c r="B79" s="19" t="s">
        <v>606</v>
      </c>
      <c r="C79" s="19"/>
      <c r="D79" s="19"/>
      <c r="E79" s="31" t="s">
        <v>607</v>
      </c>
      <c r="F79" s="14">
        <v>52.5</v>
      </c>
      <c r="G79" s="20">
        <v>50</v>
      </c>
      <c r="H79" s="21">
        <v>2.5</v>
      </c>
      <c r="I79" s="14"/>
      <c r="J79" s="18">
        <f t="shared" si="3"/>
        <v>52.5</v>
      </c>
      <c r="K79" s="32"/>
      <c r="L79" s="33">
        <f t="shared" si="4"/>
        <v>0</v>
      </c>
      <c r="M79" s="215"/>
      <c r="N79" s="6"/>
    </row>
    <row r="80" spans="1:14" ht="15.75">
      <c r="A80" s="11">
        <f t="shared" si="5"/>
        <v>74</v>
      </c>
      <c r="B80" s="19" t="s">
        <v>608</v>
      </c>
      <c r="C80" s="19"/>
      <c r="D80" s="19">
        <v>101012</v>
      </c>
      <c r="E80" s="31" t="s">
        <v>167</v>
      </c>
      <c r="F80" s="14">
        <v>52.5</v>
      </c>
      <c r="G80" s="20">
        <v>50</v>
      </c>
      <c r="H80" s="21">
        <v>2.5</v>
      </c>
      <c r="I80" s="14"/>
      <c r="J80" s="18">
        <f t="shared" si="3"/>
        <v>52.5</v>
      </c>
      <c r="K80" s="32"/>
      <c r="L80" s="33">
        <f t="shared" si="4"/>
        <v>0</v>
      </c>
      <c r="M80" s="215"/>
      <c r="N80" s="6"/>
    </row>
    <row r="81" spans="1:14" ht="15.75">
      <c r="A81" s="11">
        <f t="shared" si="5"/>
        <v>75</v>
      </c>
      <c r="B81" s="19" t="s">
        <v>609</v>
      </c>
      <c r="C81" s="19"/>
      <c r="D81" s="19">
        <v>105349</v>
      </c>
      <c r="E81" s="31" t="s">
        <v>955</v>
      </c>
      <c r="F81" s="14">
        <v>52.5</v>
      </c>
      <c r="G81" s="74">
        <v>50</v>
      </c>
      <c r="H81" s="75">
        <v>2.5</v>
      </c>
      <c r="I81" s="14"/>
      <c r="J81" s="18">
        <f t="shared" si="3"/>
        <v>52.5</v>
      </c>
      <c r="K81" s="32"/>
      <c r="L81" s="33">
        <f t="shared" si="4"/>
        <v>0</v>
      </c>
      <c r="M81" s="215"/>
      <c r="N81" s="6"/>
    </row>
    <row r="82" spans="1:14" ht="15.75">
      <c r="A82" s="11">
        <f t="shared" si="5"/>
        <v>76</v>
      </c>
      <c r="B82" s="19" t="s">
        <v>410</v>
      </c>
      <c r="C82" s="19"/>
      <c r="D82" s="19"/>
      <c r="E82" s="118" t="s">
        <v>956</v>
      </c>
      <c r="F82" s="14">
        <v>128.69</v>
      </c>
      <c r="G82" s="20">
        <v>50</v>
      </c>
      <c r="H82" s="75">
        <v>2.5</v>
      </c>
      <c r="I82" s="14">
        <v>76.19</v>
      </c>
      <c r="J82" s="18">
        <f t="shared" si="3"/>
        <v>128.69</v>
      </c>
      <c r="K82" s="32"/>
      <c r="L82" s="33">
        <f t="shared" si="4"/>
        <v>0</v>
      </c>
      <c r="M82" s="215"/>
      <c r="N82" s="6"/>
    </row>
    <row r="83" spans="1:14" ht="15.75">
      <c r="A83" s="11">
        <f t="shared" si="5"/>
        <v>77</v>
      </c>
      <c r="B83" s="116" t="s">
        <v>613</v>
      </c>
      <c r="C83" s="19"/>
      <c r="D83" s="19"/>
      <c r="E83" s="31" t="s">
        <v>957</v>
      </c>
      <c r="F83" s="14">
        <v>52.5</v>
      </c>
      <c r="G83" s="53">
        <v>50</v>
      </c>
      <c r="H83" s="54">
        <v>2.5</v>
      </c>
      <c r="I83" s="14"/>
      <c r="J83" s="18">
        <f t="shared" si="3"/>
        <v>52.5</v>
      </c>
      <c r="K83" s="32"/>
      <c r="L83" s="33">
        <f t="shared" si="4"/>
        <v>0</v>
      </c>
      <c r="M83" s="37"/>
      <c r="N83" s="6"/>
    </row>
    <row r="84" spans="1:14" ht="15.75">
      <c r="A84" s="11">
        <f t="shared" si="5"/>
        <v>78</v>
      </c>
      <c r="B84" s="19" t="s">
        <v>615</v>
      </c>
      <c r="C84" s="19" t="s">
        <v>942</v>
      </c>
      <c r="D84" s="19">
        <v>101820</v>
      </c>
      <c r="E84" s="31" t="s">
        <v>616</v>
      </c>
      <c r="F84" s="14">
        <v>52.5</v>
      </c>
      <c r="G84" s="74">
        <v>50</v>
      </c>
      <c r="H84" s="54">
        <v>2.5</v>
      </c>
      <c r="I84" s="14"/>
      <c r="J84" s="18">
        <f t="shared" si="3"/>
        <v>52.5</v>
      </c>
      <c r="K84" s="32"/>
      <c r="L84" s="33">
        <f t="shared" si="4"/>
        <v>0</v>
      </c>
      <c r="M84" s="215"/>
      <c r="N84" s="6"/>
    </row>
    <row r="85" spans="1:14" ht="15.75">
      <c r="A85" s="11">
        <f t="shared" si="5"/>
        <v>79</v>
      </c>
      <c r="B85" s="19" t="s">
        <v>617</v>
      </c>
      <c r="C85" s="19"/>
      <c r="D85" s="19">
        <v>101504</v>
      </c>
      <c r="E85" s="31" t="s">
        <v>618</v>
      </c>
      <c r="F85" s="14">
        <v>213.87</v>
      </c>
      <c r="G85" s="74">
        <v>100</v>
      </c>
      <c r="H85" s="75">
        <v>5</v>
      </c>
      <c r="I85" s="14">
        <v>108.87</v>
      </c>
      <c r="J85" s="18">
        <f t="shared" si="3"/>
        <v>213.87</v>
      </c>
      <c r="K85" s="32"/>
      <c r="L85" s="33">
        <f>+(F85-((SUM(J85+K85))))</f>
        <v>0</v>
      </c>
      <c r="M85" s="215"/>
      <c r="N85" s="6"/>
    </row>
    <row r="86" spans="1:14" ht="15.75">
      <c r="A86" s="11">
        <f t="shared" si="5"/>
        <v>80</v>
      </c>
      <c r="B86" s="19" t="s">
        <v>619</v>
      </c>
      <c r="C86" s="19"/>
      <c r="D86" s="19">
        <v>101418</v>
      </c>
      <c r="E86" s="31" t="s">
        <v>620</v>
      </c>
      <c r="F86" s="14">
        <v>105</v>
      </c>
      <c r="G86" s="74">
        <v>100</v>
      </c>
      <c r="H86" s="75">
        <v>5</v>
      </c>
      <c r="I86" s="14"/>
      <c r="J86" s="18">
        <f t="shared" si="3"/>
        <v>105</v>
      </c>
      <c r="K86" s="32"/>
      <c r="L86" s="33">
        <f t="shared" si="4"/>
        <v>0</v>
      </c>
      <c r="M86" s="215"/>
      <c r="N86" s="6"/>
    </row>
    <row r="87" spans="1:14" ht="15.75">
      <c r="A87" s="11">
        <f t="shared" si="5"/>
        <v>81</v>
      </c>
      <c r="B87" s="19" t="s">
        <v>414</v>
      </c>
      <c r="C87" s="19"/>
      <c r="D87" s="19">
        <v>101701</v>
      </c>
      <c r="E87" s="31" t="s">
        <v>621</v>
      </c>
      <c r="F87" s="14">
        <v>52.5</v>
      </c>
      <c r="G87" s="74">
        <v>50</v>
      </c>
      <c r="H87" s="75">
        <v>2.5</v>
      </c>
      <c r="I87" s="248"/>
      <c r="J87" s="18">
        <f t="shared" si="3"/>
        <v>52.5</v>
      </c>
      <c r="K87" s="32"/>
      <c r="L87" s="33">
        <f t="shared" si="4"/>
        <v>0</v>
      </c>
      <c r="M87" s="215"/>
      <c r="N87" s="6"/>
    </row>
    <row r="88" spans="1:14" ht="15.75">
      <c r="A88" s="11">
        <f t="shared" si="5"/>
        <v>82</v>
      </c>
      <c r="B88" s="19" t="s">
        <v>622</v>
      </c>
      <c r="C88" s="19"/>
      <c r="D88" s="19">
        <v>101708</v>
      </c>
      <c r="E88" s="31" t="s">
        <v>623</v>
      </c>
      <c r="F88" s="14">
        <v>52.5</v>
      </c>
      <c r="G88" s="74">
        <v>50</v>
      </c>
      <c r="H88" s="75">
        <v>2.5</v>
      </c>
      <c r="I88" s="14"/>
      <c r="J88" s="18">
        <f t="shared" si="3"/>
        <v>52.5</v>
      </c>
      <c r="K88" s="32"/>
      <c r="L88" s="33">
        <f>+(F88-((SUM(J88+K88))))</f>
        <v>0</v>
      </c>
      <c r="M88" s="37"/>
      <c r="N88" s="6"/>
    </row>
    <row r="89" spans="1:14" ht="15.75">
      <c r="A89" s="11">
        <f t="shared" si="5"/>
        <v>83</v>
      </c>
      <c r="B89" s="19" t="s">
        <v>908</v>
      </c>
      <c r="C89" s="19"/>
      <c r="D89" s="19">
        <v>101888</v>
      </c>
      <c r="E89" s="31" t="s">
        <v>958</v>
      </c>
      <c r="F89" s="14">
        <v>52.5</v>
      </c>
      <c r="G89" s="74">
        <v>50</v>
      </c>
      <c r="H89" s="54">
        <v>2.5</v>
      </c>
      <c r="I89" s="14"/>
      <c r="J89" s="18">
        <f t="shared" si="3"/>
        <v>52.5</v>
      </c>
      <c r="K89" s="32"/>
      <c r="L89" s="33">
        <f t="shared" ref="L89:L90" si="6">+(F89-((SUM(J89+K89))))</f>
        <v>0</v>
      </c>
      <c r="M89" s="218"/>
      <c r="N89" s="6"/>
    </row>
    <row r="90" spans="1:14" ht="15.75">
      <c r="A90" s="11">
        <f t="shared" si="5"/>
        <v>84</v>
      </c>
      <c r="B90" s="19" t="s">
        <v>959</v>
      </c>
      <c r="C90" s="19" t="s">
        <v>942</v>
      </c>
      <c r="D90" s="19">
        <v>101804</v>
      </c>
      <c r="E90" s="31" t="s">
        <v>625</v>
      </c>
      <c r="F90" s="14">
        <v>730.01</v>
      </c>
      <c r="G90" s="20">
        <v>220</v>
      </c>
      <c r="H90" s="21">
        <v>11</v>
      </c>
      <c r="I90" s="14">
        <v>499.01</v>
      </c>
      <c r="J90" s="18">
        <f>SUM(G90+H90+I90)</f>
        <v>730.01</v>
      </c>
      <c r="K90" s="32"/>
      <c r="L90" s="33">
        <f t="shared" si="6"/>
        <v>0</v>
      </c>
      <c r="M90" s="218"/>
      <c r="N90" s="6"/>
    </row>
    <row r="91" spans="1:14" ht="15.75">
      <c r="A91" s="11">
        <f t="shared" si="5"/>
        <v>85</v>
      </c>
      <c r="B91" s="19" t="s">
        <v>626</v>
      </c>
      <c r="C91" s="19"/>
      <c r="D91" s="19">
        <v>101379</v>
      </c>
      <c r="E91" s="31" t="s">
        <v>144</v>
      </c>
      <c r="F91" s="14">
        <v>52.5</v>
      </c>
      <c r="G91" s="20">
        <v>50</v>
      </c>
      <c r="H91" s="75">
        <v>2.5</v>
      </c>
      <c r="I91" s="14"/>
      <c r="J91" s="18">
        <f t="shared" si="3"/>
        <v>52.5</v>
      </c>
      <c r="K91" s="32"/>
      <c r="L91" s="33">
        <f t="shared" si="4"/>
        <v>0</v>
      </c>
      <c r="M91" s="215"/>
      <c r="N91" s="6"/>
    </row>
    <row r="92" spans="1:14" ht="15.75">
      <c r="A92" s="11">
        <f t="shared" si="5"/>
        <v>86</v>
      </c>
      <c r="B92" s="116" t="s">
        <v>627</v>
      </c>
      <c r="C92" s="19"/>
      <c r="D92" s="19"/>
      <c r="E92" s="118" t="s">
        <v>628</v>
      </c>
      <c r="F92" s="14">
        <v>52.5</v>
      </c>
      <c r="G92" s="74">
        <v>50</v>
      </c>
      <c r="H92" s="54">
        <v>2.5</v>
      </c>
      <c r="I92" s="14"/>
      <c r="J92" s="18">
        <f t="shared" si="3"/>
        <v>52.5</v>
      </c>
      <c r="K92" s="32"/>
      <c r="L92" s="33">
        <f>+(F92-((SUM(J92+K92))))</f>
        <v>0</v>
      </c>
      <c r="M92" s="215"/>
      <c r="N92" s="6"/>
    </row>
    <row r="93" spans="1:14" ht="15.75">
      <c r="A93" s="11">
        <f t="shared" si="5"/>
        <v>87</v>
      </c>
      <c r="B93" s="19" t="s">
        <v>629</v>
      </c>
      <c r="C93" s="19"/>
      <c r="D93" s="19"/>
      <c r="E93" s="118" t="s">
        <v>630</v>
      </c>
      <c r="F93" s="14">
        <v>52.5</v>
      </c>
      <c r="G93" s="74">
        <v>50</v>
      </c>
      <c r="H93" s="75">
        <v>2.5</v>
      </c>
      <c r="I93" s="14"/>
      <c r="J93" s="18">
        <f t="shared" si="3"/>
        <v>52.5</v>
      </c>
      <c r="K93" s="32"/>
      <c r="L93" s="33">
        <f t="shared" si="4"/>
        <v>0</v>
      </c>
      <c r="M93" s="215"/>
      <c r="N93" s="6"/>
    </row>
    <row r="94" spans="1:14" ht="15.75">
      <c r="A94" s="11">
        <f t="shared" si="5"/>
        <v>88</v>
      </c>
      <c r="B94" s="30" t="s">
        <v>633</v>
      </c>
      <c r="C94" s="19" t="s">
        <v>942</v>
      </c>
      <c r="D94" s="19">
        <v>101410</v>
      </c>
      <c r="E94" s="84" t="s">
        <v>634</v>
      </c>
      <c r="F94" s="14">
        <v>105</v>
      </c>
      <c r="G94" s="74">
        <v>100</v>
      </c>
      <c r="H94" s="75">
        <v>5</v>
      </c>
      <c r="I94" s="14"/>
      <c r="J94" s="18">
        <f t="shared" si="3"/>
        <v>105</v>
      </c>
      <c r="K94" s="35"/>
      <c r="L94" s="36">
        <f>+(F94-((SUM(J94+K94))))</f>
        <v>0</v>
      </c>
      <c r="M94" s="215"/>
      <c r="N94" s="6"/>
    </row>
    <row r="95" spans="1:14" ht="15.75">
      <c r="A95" s="11">
        <f t="shared" si="5"/>
        <v>89</v>
      </c>
      <c r="B95" s="19" t="s">
        <v>635</v>
      </c>
      <c r="C95" s="19" t="s">
        <v>942</v>
      </c>
      <c r="D95" s="19">
        <v>101458</v>
      </c>
      <c r="E95" s="31" t="s">
        <v>960</v>
      </c>
      <c r="F95" s="14">
        <v>52.5</v>
      </c>
      <c r="G95" s="74">
        <v>50</v>
      </c>
      <c r="H95" s="75">
        <v>2.5</v>
      </c>
      <c r="I95" s="14"/>
      <c r="J95" s="18">
        <f t="shared" si="3"/>
        <v>52.5</v>
      </c>
      <c r="K95" s="32"/>
      <c r="L95" s="33">
        <f t="shared" si="4"/>
        <v>0</v>
      </c>
      <c r="M95" s="215"/>
      <c r="N95" s="6"/>
    </row>
    <row r="96" spans="1:14" ht="15.75">
      <c r="A96" s="11">
        <f t="shared" si="5"/>
        <v>90</v>
      </c>
      <c r="B96" s="19" t="s">
        <v>637</v>
      </c>
      <c r="C96" s="19" t="s">
        <v>942</v>
      </c>
      <c r="D96" s="19">
        <v>101018</v>
      </c>
      <c r="E96" s="31" t="s">
        <v>961</v>
      </c>
      <c r="F96" s="14">
        <v>52.5</v>
      </c>
      <c r="G96" s="74">
        <v>50</v>
      </c>
      <c r="H96" s="54">
        <v>2.5</v>
      </c>
      <c r="I96" s="14"/>
      <c r="J96" s="18">
        <f t="shared" si="3"/>
        <v>52.5</v>
      </c>
      <c r="K96" s="32"/>
      <c r="L96" s="33">
        <f t="shared" si="4"/>
        <v>0</v>
      </c>
      <c r="M96" s="215"/>
      <c r="N96" s="6"/>
    </row>
    <row r="97" spans="1:14" ht="15.75">
      <c r="A97" s="11">
        <f t="shared" si="5"/>
        <v>91</v>
      </c>
      <c r="B97" s="19" t="s">
        <v>639</v>
      </c>
      <c r="C97" s="19" t="s">
        <v>942</v>
      </c>
      <c r="D97" s="19">
        <v>101800</v>
      </c>
      <c r="E97" s="31" t="s">
        <v>640</v>
      </c>
      <c r="F97" s="14">
        <v>52.5</v>
      </c>
      <c r="G97" s="20">
        <v>50</v>
      </c>
      <c r="H97" s="21">
        <v>2.5</v>
      </c>
      <c r="I97" s="14"/>
      <c r="J97" s="18">
        <f t="shared" si="3"/>
        <v>52.5</v>
      </c>
      <c r="K97" s="32"/>
      <c r="L97" s="33">
        <f>+(F97-((SUM(J97+K97))))</f>
        <v>0</v>
      </c>
      <c r="M97" s="215"/>
      <c r="N97" s="58"/>
    </row>
    <row r="98" spans="1:14" ht="15.75">
      <c r="A98" s="11">
        <f t="shared" si="5"/>
        <v>92</v>
      </c>
      <c r="B98" s="19" t="s">
        <v>641</v>
      </c>
      <c r="C98" s="19" t="s">
        <v>942</v>
      </c>
      <c r="D98" s="19">
        <v>101606</v>
      </c>
      <c r="E98" s="118" t="s">
        <v>642</v>
      </c>
      <c r="F98" s="14">
        <v>55.94</v>
      </c>
      <c r="G98" s="74">
        <v>50</v>
      </c>
      <c r="H98" s="21">
        <v>2.5</v>
      </c>
      <c r="I98" s="14">
        <v>3.44</v>
      </c>
      <c r="J98" s="18">
        <f t="shared" si="3"/>
        <v>55.94</v>
      </c>
      <c r="K98" s="32"/>
      <c r="L98" s="33">
        <f>+(F98-((SUM(J98+K98))))</f>
        <v>0</v>
      </c>
      <c r="M98" s="215"/>
      <c r="N98" s="59" t="s">
        <v>525</v>
      </c>
    </row>
    <row r="99" spans="1:14" ht="15.75">
      <c r="A99" s="11">
        <f t="shared" si="5"/>
        <v>93</v>
      </c>
      <c r="B99" s="19" t="s">
        <v>643</v>
      </c>
      <c r="C99" s="19" t="s">
        <v>942</v>
      </c>
      <c r="D99" s="19">
        <v>101663</v>
      </c>
      <c r="E99" s="118" t="s">
        <v>644</v>
      </c>
      <c r="F99" s="14">
        <v>52.5</v>
      </c>
      <c r="G99" s="74">
        <v>50</v>
      </c>
      <c r="H99" s="75">
        <v>2.5</v>
      </c>
      <c r="I99" s="14"/>
      <c r="J99" s="18">
        <f t="shared" si="3"/>
        <v>52.5</v>
      </c>
      <c r="K99" s="32"/>
      <c r="L99" s="33">
        <f t="shared" si="4"/>
        <v>0</v>
      </c>
      <c r="M99" s="37"/>
      <c r="N99" s="60" t="s">
        <v>79</v>
      </c>
    </row>
    <row r="100" spans="1:14" ht="15.75">
      <c r="A100" s="11">
        <f t="shared" si="5"/>
        <v>94</v>
      </c>
      <c r="B100" s="19" t="s">
        <v>645</v>
      </c>
      <c r="C100" s="19" t="s">
        <v>942</v>
      </c>
      <c r="D100" s="19">
        <v>101716</v>
      </c>
      <c r="E100" s="31" t="s">
        <v>646</v>
      </c>
      <c r="F100" s="14">
        <v>105</v>
      </c>
      <c r="G100" s="74">
        <v>100</v>
      </c>
      <c r="H100" s="75">
        <v>5</v>
      </c>
      <c r="I100" s="14"/>
      <c r="J100" s="18">
        <f t="shared" si="3"/>
        <v>105</v>
      </c>
      <c r="K100" s="32"/>
      <c r="L100" s="36">
        <f t="shared" si="4"/>
        <v>0</v>
      </c>
      <c r="M100" s="37"/>
      <c r="N100" s="40"/>
    </row>
    <row r="101" spans="1:14" ht="15.75">
      <c r="A101" s="11">
        <f t="shared" si="5"/>
        <v>95</v>
      </c>
      <c r="B101" s="19" t="s">
        <v>647</v>
      </c>
      <c r="C101" s="19" t="s">
        <v>942</v>
      </c>
      <c r="D101" s="19">
        <v>101815</v>
      </c>
      <c r="E101" s="118" t="s">
        <v>648</v>
      </c>
      <c r="F101" s="14">
        <v>52.5</v>
      </c>
      <c r="G101" s="20">
        <v>50</v>
      </c>
      <c r="H101" s="21">
        <v>2.5</v>
      </c>
      <c r="I101" s="14"/>
      <c r="J101" s="18">
        <f t="shared" si="3"/>
        <v>52.5</v>
      </c>
      <c r="K101" s="32"/>
      <c r="L101" s="33">
        <f t="shared" si="4"/>
        <v>0</v>
      </c>
      <c r="M101" s="215"/>
      <c r="N101" s="40"/>
    </row>
    <row r="102" spans="1:14" ht="15.75">
      <c r="A102" s="11">
        <f t="shared" si="5"/>
        <v>96</v>
      </c>
      <c r="B102" s="19" t="s">
        <v>0</v>
      </c>
      <c r="C102" s="19" t="s">
        <v>942</v>
      </c>
      <c r="D102" s="19">
        <v>101623</v>
      </c>
      <c r="E102" s="31" t="s">
        <v>962</v>
      </c>
      <c r="F102" s="14">
        <v>53.72</v>
      </c>
      <c r="G102" s="74">
        <v>50</v>
      </c>
      <c r="H102" s="75">
        <v>2.5</v>
      </c>
      <c r="I102" s="14">
        <v>1.22</v>
      </c>
      <c r="J102" s="18">
        <f>SUM(G102+H102+I102)</f>
        <v>53.72</v>
      </c>
      <c r="K102" s="32"/>
      <c r="L102" s="36">
        <f>+(F102-((SUM(J102+K102))))</f>
        <v>0</v>
      </c>
      <c r="M102" s="215"/>
      <c r="N102" s="6"/>
    </row>
    <row r="103" spans="1:14" ht="15.75">
      <c r="A103" s="11">
        <f t="shared" si="5"/>
        <v>97</v>
      </c>
      <c r="B103" s="19" t="s">
        <v>419</v>
      </c>
      <c r="C103" s="19" t="s">
        <v>942</v>
      </c>
      <c r="D103" s="19">
        <v>105230</v>
      </c>
      <c r="E103" s="118" t="s">
        <v>963</v>
      </c>
      <c r="F103" s="14">
        <v>109.15</v>
      </c>
      <c r="G103" s="74">
        <v>100</v>
      </c>
      <c r="H103" s="75">
        <v>5</v>
      </c>
      <c r="I103" s="14">
        <v>4.1500000000000004</v>
      </c>
      <c r="J103" s="18">
        <f>SUM(G103+H103+I103)</f>
        <v>109.15</v>
      </c>
      <c r="K103" s="32"/>
      <c r="L103" s="33">
        <f>+(F103-((SUM(J103+K103))))</f>
        <v>0</v>
      </c>
      <c r="M103" s="37"/>
      <c r="N103" s="40"/>
    </row>
    <row r="104" spans="1:14" ht="15.75">
      <c r="A104" s="11">
        <f t="shared" si="5"/>
        <v>98</v>
      </c>
      <c r="B104" s="19" t="s">
        <v>649</v>
      </c>
      <c r="C104" s="19" t="s">
        <v>942</v>
      </c>
      <c r="D104" s="19">
        <v>101803</v>
      </c>
      <c r="E104" s="31" t="s">
        <v>650</v>
      </c>
      <c r="F104" s="14">
        <v>52.5</v>
      </c>
      <c r="G104" s="74">
        <v>50</v>
      </c>
      <c r="H104" s="54">
        <v>2.5</v>
      </c>
      <c r="I104" s="14"/>
      <c r="J104" s="18">
        <f t="shared" si="3"/>
        <v>52.5</v>
      </c>
      <c r="K104" s="32"/>
      <c r="L104" s="33">
        <f t="shared" ref="L104:L188" si="7">+(F104-((SUM(J104+K104))))</f>
        <v>0</v>
      </c>
      <c r="M104" s="37"/>
      <c r="N104" s="40"/>
    </row>
    <row r="105" spans="1:14" ht="15.75">
      <c r="A105" s="11">
        <f t="shared" si="5"/>
        <v>99</v>
      </c>
      <c r="B105" s="19" t="s">
        <v>651</v>
      </c>
      <c r="C105" s="212" t="s">
        <v>942</v>
      </c>
      <c r="D105" s="19">
        <v>101793</v>
      </c>
      <c r="E105" s="118" t="s">
        <v>652</v>
      </c>
      <c r="F105" s="14">
        <v>278.17</v>
      </c>
      <c r="G105" s="74">
        <v>50</v>
      </c>
      <c r="H105" s="75">
        <v>2.5</v>
      </c>
      <c r="I105" s="14">
        <v>225.67</v>
      </c>
      <c r="J105" s="18">
        <f t="shared" si="3"/>
        <v>278.16999999999996</v>
      </c>
      <c r="K105" s="32"/>
      <c r="L105" s="33">
        <f t="shared" si="7"/>
        <v>5.6843418860808015E-14</v>
      </c>
      <c r="M105" s="215" t="s">
        <v>964</v>
      </c>
      <c r="N105" s="40"/>
    </row>
    <row r="106" spans="1:14" ht="15.75">
      <c r="A106" s="11">
        <f t="shared" si="5"/>
        <v>100</v>
      </c>
      <c r="B106" s="224" t="s">
        <v>653</v>
      </c>
      <c r="C106" s="19" t="s">
        <v>942</v>
      </c>
      <c r="D106" s="19">
        <v>101728</v>
      </c>
      <c r="E106" s="118" t="s">
        <v>654</v>
      </c>
      <c r="F106" s="14">
        <v>52.5</v>
      </c>
      <c r="G106" s="20">
        <v>50</v>
      </c>
      <c r="H106" s="21">
        <v>2.5</v>
      </c>
      <c r="I106" s="14"/>
      <c r="J106" s="18">
        <f t="shared" si="3"/>
        <v>52.5</v>
      </c>
      <c r="K106" s="32"/>
      <c r="L106" s="33">
        <f t="shared" si="7"/>
        <v>0</v>
      </c>
      <c r="M106" s="215"/>
      <c r="N106" s="195"/>
    </row>
    <row r="107" spans="1:14" ht="15.75">
      <c r="A107" s="11">
        <f t="shared" si="5"/>
        <v>101</v>
      </c>
      <c r="B107" s="19" t="s">
        <v>655</v>
      </c>
      <c r="C107" s="19" t="s">
        <v>942</v>
      </c>
      <c r="D107" s="19">
        <v>101055</v>
      </c>
      <c r="E107" s="31" t="s">
        <v>656</v>
      </c>
      <c r="F107" s="14">
        <v>52.5</v>
      </c>
      <c r="G107" s="53">
        <v>50</v>
      </c>
      <c r="H107" s="54">
        <v>2.5</v>
      </c>
      <c r="I107" s="14"/>
      <c r="J107" s="18">
        <f t="shared" si="3"/>
        <v>52.5</v>
      </c>
      <c r="K107" s="32"/>
      <c r="L107" s="33">
        <f t="shared" si="7"/>
        <v>0</v>
      </c>
      <c r="M107" s="215"/>
      <c r="N107" s="194"/>
    </row>
    <row r="108" spans="1:14" ht="15.75">
      <c r="A108" s="11">
        <f t="shared" si="5"/>
        <v>102</v>
      </c>
      <c r="B108" s="19" t="s">
        <v>657</v>
      </c>
      <c r="C108" s="19" t="s">
        <v>942</v>
      </c>
      <c r="D108" s="19"/>
      <c r="E108" s="31" t="s">
        <v>658</v>
      </c>
      <c r="F108" s="14">
        <v>105</v>
      </c>
      <c r="G108" s="53">
        <v>100</v>
      </c>
      <c r="H108" s="54">
        <v>5</v>
      </c>
      <c r="I108" s="14"/>
      <c r="J108" s="18">
        <f t="shared" si="3"/>
        <v>105</v>
      </c>
      <c r="K108" s="32"/>
      <c r="L108" s="33">
        <f t="shared" si="7"/>
        <v>0</v>
      </c>
      <c r="M108" s="215"/>
      <c r="N108" s="6" t="s">
        <v>539</v>
      </c>
    </row>
    <row r="109" spans="1:14" ht="15.75">
      <c r="A109" s="11">
        <f t="shared" si="5"/>
        <v>103</v>
      </c>
      <c r="B109" s="30" t="s">
        <v>659</v>
      </c>
      <c r="C109" s="19" t="s">
        <v>942</v>
      </c>
      <c r="D109" s="19">
        <v>101600</v>
      </c>
      <c r="E109" s="50" t="s">
        <v>660</v>
      </c>
      <c r="F109" s="14">
        <v>126.33</v>
      </c>
      <c r="G109" s="74">
        <v>100</v>
      </c>
      <c r="H109" s="75">
        <v>5</v>
      </c>
      <c r="I109" s="249">
        <v>21.33</v>
      </c>
      <c r="J109" s="18">
        <f t="shared" si="3"/>
        <v>126.33</v>
      </c>
      <c r="K109" s="35"/>
      <c r="L109" s="36">
        <f t="shared" si="7"/>
        <v>0</v>
      </c>
      <c r="M109" s="215"/>
      <c r="N109" s="6" t="s">
        <v>542</v>
      </c>
    </row>
    <row r="110" spans="1:14" ht="15.75">
      <c r="A110" s="11">
        <f t="shared" si="5"/>
        <v>104</v>
      </c>
      <c r="B110" s="19" t="s">
        <v>662</v>
      </c>
      <c r="C110" s="19" t="s">
        <v>942</v>
      </c>
      <c r="D110" s="19">
        <v>101809</v>
      </c>
      <c r="E110" s="118" t="s">
        <v>663</v>
      </c>
      <c r="F110" s="14">
        <v>212.64</v>
      </c>
      <c r="G110" s="74">
        <v>200</v>
      </c>
      <c r="H110" s="75">
        <v>10.039999999999999</v>
      </c>
      <c r="I110" s="14">
        <v>2.6</v>
      </c>
      <c r="J110" s="18">
        <f t="shared" si="3"/>
        <v>212.64</v>
      </c>
      <c r="K110" s="32"/>
      <c r="L110" s="33">
        <f t="shared" si="7"/>
        <v>0</v>
      </c>
      <c r="M110" s="215"/>
      <c r="N110" s="40"/>
    </row>
    <row r="111" spans="1:14" ht="15.75">
      <c r="A111" s="11">
        <f t="shared" si="5"/>
        <v>105</v>
      </c>
      <c r="B111" s="30" t="s">
        <v>664</v>
      </c>
      <c r="C111" s="19" t="s">
        <v>942</v>
      </c>
      <c r="D111" s="19">
        <v>101721</v>
      </c>
      <c r="E111" s="84" t="s">
        <v>665</v>
      </c>
      <c r="F111" s="14">
        <v>105</v>
      </c>
      <c r="G111" s="74">
        <v>100</v>
      </c>
      <c r="H111" s="75">
        <v>5</v>
      </c>
      <c r="I111" s="249"/>
      <c r="J111" s="18">
        <f t="shared" si="3"/>
        <v>105</v>
      </c>
      <c r="K111" s="32"/>
      <c r="L111" s="33">
        <f>+(F111-((SUM(J111+K111))))</f>
        <v>0</v>
      </c>
      <c r="M111" s="215"/>
      <c r="N111" s="6"/>
    </row>
    <row r="112" spans="1:14" ht="15.75">
      <c r="A112" s="11">
        <f t="shared" si="5"/>
        <v>106</v>
      </c>
      <c r="B112" s="19" t="s">
        <v>666</v>
      </c>
      <c r="C112" s="19" t="s">
        <v>942</v>
      </c>
      <c r="D112" s="19">
        <v>101189</v>
      </c>
      <c r="E112" s="31" t="s">
        <v>89</v>
      </c>
      <c r="F112" s="14">
        <v>52.5</v>
      </c>
      <c r="G112" s="74">
        <v>50</v>
      </c>
      <c r="H112" s="75">
        <v>2.5</v>
      </c>
      <c r="I112" s="14"/>
      <c r="J112" s="18">
        <f t="shared" si="3"/>
        <v>52.5</v>
      </c>
      <c r="K112" s="32"/>
      <c r="L112" s="33">
        <f t="shared" si="7"/>
        <v>0</v>
      </c>
      <c r="M112" s="215"/>
      <c r="N112" s="40"/>
    </row>
    <row r="113" spans="1:14" ht="15.75">
      <c r="A113" s="11">
        <f t="shared" si="5"/>
        <v>107</v>
      </c>
      <c r="B113" s="30" t="s">
        <v>667</v>
      </c>
      <c r="C113" s="19" t="s">
        <v>942</v>
      </c>
      <c r="D113" s="212">
        <v>101571</v>
      </c>
      <c r="E113" s="84" t="s">
        <v>668</v>
      </c>
      <c r="F113" s="14">
        <v>52.5</v>
      </c>
      <c r="G113" s="26">
        <v>50</v>
      </c>
      <c r="H113" s="27">
        <v>2.5</v>
      </c>
      <c r="I113" s="249"/>
      <c r="J113" s="18">
        <f t="shared" si="3"/>
        <v>52.5</v>
      </c>
      <c r="K113" s="35"/>
      <c r="L113" s="36">
        <f t="shared" si="7"/>
        <v>0</v>
      </c>
      <c r="M113" s="215"/>
      <c r="N113" s="40"/>
    </row>
    <row r="114" spans="1:14" ht="15.75">
      <c r="A114" s="11">
        <f t="shared" si="5"/>
        <v>108</v>
      </c>
      <c r="B114" s="19" t="s">
        <v>669</v>
      </c>
      <c r="C114" s="19" t="s">
        <v>942</v>
      </c>
      <c r="D114" s="19">
        <v>101662</v>
      </c>
      <c r="E114" s="118" t="s">
        <v>262</v>
      </c>
      <c r="F114" s="14">
        <v>52.5</v>
      </c>
      <c r="G114" s="74">
        <v>50</v>
      </c>
      <c r="H114" s="75">
        <v>2.5</v>
      </c>
      <c r="I114" s="14"/>
      <c r="J114" s="18">
        <f t="shared" si="3"/>
        <v>52.5</v>
      </c>
      <c r="K114" s="32"/>
      <c r="L114" s="33">
        <f t="shared" si="7"/>
        <v>0</v>
      </c>
      <c r="M114" s="215"/>
      <c r="N114" s="40"/>
    </row>
    <row r="115" spans="1:14" ht="15.75">
      <c r="A115" s="11">
        <f t="shared" si="5"/>
        <v>109</v>
      </c>
      <c r="B115" s="30" t="s">
        <v>670</v>
      </c>
      <c r="C115" s="19" t="s">
        <v>942</v>
      </c>
      <c r="D115" s="19">
        <v>101515</v>
      </c>
      <c r="E115" s="84" t="s">
        <v>671</v>
      </c>
      <c r="F115" s="14">
        <v>210</v>
      </c>
      <c r="G115" s="26">
        <v>200</v>
      </c>
      <c r="H115" s="27">
        <v>10</v>
      </c>
      <c r="I115" s="248"/>
      <c r="J115" s="18">
        <f t="shared" si="3"/>
        <v>210</v>
      </c>
      <c r="K115" s="35"/>
      <c r="L115" s="36">
        <f t="shared" si="7"/>
        <v>0</v>
      </c>
      <c r="M115" s="37"/>
      <c r="N115" s="195"/>
    </row>
    <row r="116" spans="1:14" ht="15.75">
      <c r="A116" s="11">
        <f t="shared" si="5"/>
        <v>110</v>
      </c>
      <c r="B116" s="19" t="s">
        <v>672</v>
      </c>
      <c r="C116" s="19" t="s">
        <v>942</v>
      </c>
      <c r="D116" s="19">
        <v>101483</v>
      </c>
      <c r="E116" s="31" t="s">
        <v>140</v>
      </c>
      <c r="F116" s="14">
        <v>943.99</v>
      </c>
      <c r="G116" s="20">
        <v>800</v>
      </c>
      <c r="H116" s="21">
        <v>40</v>
      </c>
      <c r="I116" s="14">
        <v>72.489999999999995</v>
      </c>
      <c r="J116" s="18">
        <f t="shared" si="3"/>
        <v>912.49</v>
      </c>
      <c r="K116" s="32">
        <v>31.5</v>
      </c>
      <c r="L116" s="33">
        <f t="shared" si="7"/>
        <v>0</v>
      </c>
      <c r="M116" s="37" t="s">
        <v>947</v>
      </c>
      <c r="N116" s="194"/>
    </row>
    <row r="117" spans="1:14" ht="15.75">
      <c r="A117" s="11">
        <f t="shared" si="5"/>
        <v>111</v>
      </c>
      <c r="B117" s="19" t="s">
        <v>673</v>
      </c>
      <c r="C117" s="19" t="s">
        <v>942</v>
      </c>
      <c r="D117" s="19">
        <v>101607</v>
      </c>
      <c r="E117" s="118" t="s">
        <v>674</v>
      </c>
      <c r="F117" s="14">
        <v>193.7</v>
      </c>
      <c r="G117" s="74">
        <v>110</v>
      </c>
      <c r="H117" s="75">
        <v>9.1199999999999992</v>
      </c>
      <c r="I117" s="14">
        <v>74.58</v>
      </c>
      <c r="J117" s="18">
        <f t="shared" si="3"/>
        <v>193.7</v>
      </c>
      <c r="K117" s="32"/>
      <c r="L117" s="33">
        <f t="shared" si="7"/>
        <v>0</v>
      </c>
      <c r="M117" s="215"/>
      <c r="N117" s="6" t="s">
        <v>557</v>
      </c>
    </row>
    <row r="118" spans="1:14" ht="15.75">
      <c r="A118" s="11">
        <f t="shared" si="5"/>
        <v>112</v>
      </c>
      <c r="B118" s="19" t="s">
        <v>828</v>
      </c>
      <c r="C118" s="19" t="s">
        <v>942</v>
      </c>
      <c r="D118" s="19">
        <v>101094</v>
      </c>
      <c r="E118" s="118" t="s">
        <v>829</v>
      </c>
      <c r="F118" s="14">
        <v>444.75</v>
      </c>
      <c r="G118" s="53">
        <v>100</v>
      </c>
      <c r="H118" s="54">
        <v>5</v>
      </c>
      <c r="I118" s="248">
        <v>279.75</v>
      </c>
      <c r="J118" s="18">
        <f t="shared" si="3"/>
        <v>384.75</v>
      </c>
      <c r="K118" s="32">
        <v>60</v>
      </c>
      <c r="L118" s="33">
        <f>+(F118-((SUM(J118+K118))))</f>
        <v>0</v>
      </c>
      <c r="M118" s="37" t="s">
        <v>947</v>
      </c>
      <c r="N118" s="6" t="s">
        <v>559</v>
      </c>
    </row>
    <row r="119" spans="1:14" ht="15.75">
      <c r="A119" s="11">
        <f t="shared" si="5"/>
        <v>113</v>
      </c>
      <c r="B119" s="30" t="s">
        <v>830</v>
      </c>
      <c r="C119" s="19" t="s">
        <v>942</v>
      </c>
      <c r="D119" s="19">
        <v>101027</v>
      </c>
      <c r="E119" s="50" t="s">
        <v>290</v>
      </c>
      <c r="F119" s="249">
        <v>313.14999999999998</v>
      </c>
      <c r="G119" s="74">
        <v>100</v>
      </c>
      <c r="H119" s="75">
        <v>5</v>
      </c>
      <c r="I119" s="248">
        <v>172.45</v>
      </c>
      <c r="J119" s="18">
        <f t="shared" si="3"/>
        <v>277.45</v>
      </c>
      <c r="K119" s="77">
        <v>35.700000000000003</v>
      </c>
      <c r="L119" s="33">
        <f>+(F119-((SUM(J119+K119))))</f>
        <v>0</v>
      </c>
      <c r="M119" s="37" t="s">
        <v>947</v>
      </c>
      <c r="N119" s="6"/>
    </row>
    <row r="120" spans="1:14" ht="15.75">
      <c r="A120" s="11">
        <f t="shared" si="5"/>
        <v>114</v>
      </c>
      <c r="B120" s="19" t="s">
        <v>675</v>
      </c>
      <c r="C120" s="19" t="s">
        <v>942</v>
      </c>
      <c r="D120" s="19">
        <v>101516</v>
      </c>
      <c r="E120" s="31" t="s">
        <v>676</v>
      </c>
      <c r="F120" s="14">
        <v>292.69</v>
      </c>
      <c r="G120" s="20">
        <v>200</v>
      </c>
      <c r="H120" s="21">
        <v>10</v>
      </c>
      <c r="I120" s="248">
        <v>24.19</v>
      </c>
      <c r="J120" s="18">
        <f t="shared" si="3"/>
        <v>234.19</v>
      </c>
      <c r="K120" s="32">
        <v>58.5</v>
      </c>
      <c r="L120" s="33">
        <f t="shared" si="7"/>
        <v>0</v>
      </c>
      <c r="M120" s="37" t="s">
        <v>947</v>
      </c>
    </row>
    <row r="121" spans="1:14" ht="15.75">
      <c r="A121" s="11">
        <f t="shared" si="5"/>
        <v>115</v>
      </c>
      <c r="B121" s="19" t="s">
        <v>677</v>
      </c>
      <c r="C121" s="19" t="s">
        <v>942</v>
      </c>
      <c r="D121" s="19">
        <v>101634</v>
      </c>
      <c r="E121" s="118" t="s">
        <v>678</v>
      </c>
      <c r="F121" s="14">
        <v>355.5</v>
      </c>
      <c r="G121" s="74">
        <v>200</v>
      </c>
      <c r="H121" s="75">
        <v>10</v>
      </c>
      <c r="I121" s="14">
        <v>145.5</v>
      </c>
      <c r="J121" s="18">
        <f t="shared" si="3"/>
        <v>355.5</v>
      </c>
      <c r="K121" s="32"/>
      <c r="L121" s="33">
        <f t="shared" si="7"/>
        <v>0</v>
      </c>
      <c r="M121" s="215"/>
    </row>
    <row r="122" spans="1:14" ht="15.75">
      <c r="A122" s="11">
        <f t="shared" si="5"/>
        <v>116</v>
      </c>
      <c r="B122" s="19" t="s">
        <v>679</v>
      </c>
      <c r="C122" s="19" t="s">
        <v>942</v>
      </c>
      <c r="D122" s="19">
        <v>101067</v>
      </c>
      <c r="E122" s="118" t="s">
        <v>77</v>
      </c>
      <c r="F122" s="14">
        <v>125.89</v>
      </c>
      <c r="G122" s="74">
        <v>100</v>
      </c>
      <c r="H122" s="75">
        <v>5</v>
      </c>
      <c r="I122" s="14">
        <v>0.56999999999999995</v>
      </c>
      <c r="J122" s="18">
        <f t="shared" si="3"/>
        <v>105.57</v>
      </c>
      <c r="K122" s="32">
        <v>20.32</v>
      </c>
      <c r="L122" s="33">
        <f t="shared" si="7"/>
        <v>1.4210854715202004E-14</v>
      </c>
      <c r="M122" s="37" t="s">
        <v>947</v>
      </c>
    </row>
    <row r="123" spans="1:14" ht="15.75">
      <c r="A123" s="11">
        <f t="shared" si="5"/>
        <v>117</v>
      </c>
      <c r="B123" s="19" t="s">
        <v>680</v>
      </c>
      <c r="C123" s="19" t="s">
        <v>942</v>
      </c>
      <c r="D123" s="19">
        <v>101565</v>
      </c>
      <c r="E123" s="31" t="s">
        <v>681</v>
      </c>
      <c r="F123" s="14">
        <v>210</v>
      </c>
      <c r="G123" s="20">
        <v>200</v>
      </c>
      <c r="H123" s="21">
        <v>10</v>
      </c>
      <c r="I123" s="14"/>
      <c r="J123" s="18">
        <f t="shared" si="3"/>
        <v>210</v>
      </c>
      <c r="K123" s="32"/>
      <c r="L123" s="33">
        <f t="shared" si="7"/>
        <v>0</v>
      </c>
      <c r="M123" s="215"/>
    </row>
    <row r="124" spans="1:14" ht="15.75">
      <c r="A124" s="11">
        <f t="shared" si="5"/>
        <v>118</v>
      </c>
      <c r="B124" s="30" t="s">
        <v>682</v>
      </c>
      <c r="C124" s="19" t="s">
        <v>942</v>
      </c>
      <c r="D124" s="19">
        <v>101886</v>
      </c>
      <c r="E124" s="50" t="s">
        <v>683</v>
      </c>
      <c r="F124" s="14">
        <v>194.22</v>
      </c>
      <c r="G124" s="74">
        <v>100</v>
      </c>
      <c r="H124" s="75">
        <v>5</v>
      </c>
      <c r="I124" s="249">
        <v>70.319999999999993</v>
      </c>
      <c r="J124" s="18">
        <f t="shared" si="3"/>
        <v>175.32</v>
      </c>
      <c r="K124" s="35">
        <v>18.899999999999999</v>
      </c>
      <c r="L124" s="33">
        <f t="shared" si="7"/>
        <v>0</v>
      </c>
      <c r="M124" s="37" t="s">
        <v>947</v>
      </c>
    </row>
    <row r="125" spans="1:14" ht="15.75">
      <c r="A125" s="11">
        <f t="shared" si="5"/>
        <v>119</v>
      </c>
      <c r="B125" s="19" t="s">
        <v>684</v>
      </c>
      <c r="C125" s="19" t="s">
        <v>942</v>
      </c>
      <c r="D125" s="19">
        <v>101066</v>
      </c>
      <c r="E125" s="118" t="s">
        <v>84</v>
      </c>
      <c r="F125" s="14">
        <v>107.4</v>
      </c>
      <c r="G125" s="26">
        <v>100</v>
      </c>
      <c r="H125" s="27">
        <v>5</v>
      </c>
      <c r="I125" s="14">
        <v>2.4</v>
      </c>
      <c r="J125" s="18">
        <f t="shared" si="3"/>
        <v>107.4</v>
      </c>
      <c r="K125" s="32"/>
      <c r="L125" s="33">
        <f t="shared" si="7"/>
        <v>0</v>
      </c>
      <c r="M125" s="215"/>
    </row>
    <row r="126" spans="1:14" ht="15.75">
      <c r="A126" s="11">
        <f t="shared" si="5"/>
        <v>120</v>
      </c>
      <c r="B126" s="19" t="s">
        <v>685</v>
      </c>
      <c r="C126" s="19" t="s">
        <v>942</v>
      </c>
      <c r="D126" s="19">
        <v>101684</v>
      </c>
      <c r="E126" s="118" t="s">
        <v>346</v>
      </c>
      <c r="F126" s="14">
        <v>52.5</v>
      </c>
      <c r="G126" s="74">
        <v>50</v>
      </c>
      <c r="H126" s="75">
        <v>2.5</v>
      </c>
      <c r="I126" s="14"/>
      <c r="J126" s="18">
        <f t="shared" si="3"/>
        <v>52.5</v>
      </c>
      <c r="K126" s="32"/>
      <c r="L126" s="33">
        <f t="shared" si="7"/>
        <v>0</v>
      </c>
      <c r="M126" s="215"/>
    </row>
    <row r="127" spans="1:14" ht="15.75">
      <c r="A127" s="11">
        <f t="shared" si="5"/>
        <v>121</v>
      </c>
      <c r="B127" s="19" t="s">
        <v>63</v>
      </c>
      <c r="C127" s="19" t="s">
        <v>942</v>
      </c>
      <c r="D127" s="19">
        <v>101825</v>
      </c>
      <c r="E127" s="31" t="s">
        <v>686</v>
      </c>
      <c r="F127" s="14">
        <v>105</v>
      </c>
      <c r="G127" s="53">
        <v>100</v>
      </c>
      <c r="H127" s="54">
        <v>5</v>
      </c>
      <c r="I127" s="14"/>
      <c r="J127" s="18">
        <f t="shared" si="3"/>
        <v>105</v>
      </c>
      <c r="K127" s="32"/>
      <c r="L127" s="33">
        <f t="shared" si="7"/>
        <v>0</v>
      </c>
      <c r="M127" s="37"/>
    </row>
    <row r="128" spans="1:14" ht="15.75">
      <c r="A128" s="11">
        <f t="shared" si="5"/>
        <v>122</v>
      </c>
      <c r="B128" s="19" t="s">
        <v>5</v>
      </c>
      <c r="C128" s="19" t="s">
        <v>942</v>
      </c>
      <c r="D128" s="19">
        <v>101738</v>
      </c>
      <c r="E128" s="50" t="s">
        <v>687</v>
      </c>
      <c r="F128" s="14">
        <v>105</v>
      </c>
      <c r="G128" s="20">
        <v>100</v>
      </c>
      <c r="H128" s="21">
        <v>5</v>
      </c>
      <c r="I128" s="14"/>
      <c r="J128" s="18">
        <f t="shared" si="3"/>
        <v>105</v>
      </c>
      <c r="K128" s="32"/>
      <c r="L128" s="33">
        <f t="shared" si="7"/>
        <v>0</v>
      </c>
      <c r="M128" s="215"/>
      <c r="N128" s="6"/>
    </row>
    <row r="129" spans="1:14" ht="15.75">
      <c r="A129" s="11">
        <f t="shared" si="5"/>
        <v>123</v>
      </c>
      <c r="B129" s="19" t="s">
        <v>688</v>
      </c>
      <c r="C129" s="19" t="s">
        <v>942</v>
      </c>
      <c r="D129" s="19">
        <v>101808</v>
      </c>
      <c r="E129" s="31" t="s">
        <v>689</v>
      </c>
      <c r="F129" s="14">
        <v>105</v>
      </c>
      <c r="G129" s="74">
        <v>100</v>
      </c>
      <c r="H129" s="54">
        <v>5</v>
      </c>
      <c r="I129" s="14"/>
      <c r="J129" s="18">
        <f t="shared" si="3"/>
        <v>105</v>
      </c>
      <c r="K129" s="32"/>
      <c r="L129" s="33">
        <f t="shared" si="7"/>
        <v>0</v>
      </c>
      <c r="M129" s="37"/>
      <c r="N129" s="6"/>
    </row>
    <row r="130" spans="1:14" ht="15.75">
      <c r="A130" s="11">
        <f t="shared" si="5"/>
        <v>124</v>
      </c>
      <c r="B130" s="19" t="s">
        <v>690</v>
      </c>
      <c r="C130" s="19" t="s">
        <v>942</v>
      </c>
      <c r="D130" s="19">
        <v>101756</v>
      </c>
      <c r="E130" s="31" t="s">
        <v>965</v>
      </c>
      <c r="F130" s="14">
        <v>262.5</v>
      </c>
      <c r="G130" s="53">
        <v>250</v>
      </c>
      <c r="H130" s="54">
        <v>12.5</v>
      </c>
      <c r="I130" s="14"/>
      <c r="J130" s="18">
        <f t="shared" si="3"/>
        <v>262.5</v>
      </c>
      <c r="K130" s="32"/>
      <c r="L130" s="33">
        <f t="shared" si="7"/>
        <v>0</v>
      </c>
      <c r="M130" s="37"/>
      <c r="N130" s="6"/>
    </row>
    <row r="131" spans="1:14" ht="15.75">
      <c r="A131" s="11">
        <f t="shared" si="5"/>
        <v>125</v>
      </c>
      <c r="B131" s="19" t="s">
        <v>822</v>
      </c>
      <c r="C131" s="19" t="s">
        <v>942</v>
      </c>
      <c r="D131" s="19">
        <v>101042</v>
      </c>
      <c r="E131" s="31" t="s">
        <v>823</v>
      </c>
      <c r="F131" s="14">
        <v>105</v>
      </c>
      <c r="G131" s="53">
        <v>100</v>
      </c>
      <c r="H131" s="54">
        <v>5</v>
      </c>
      <c r="I131" s="248"/>
      <c r="J131" s="18">
        <f t="shared" si="3"/>
        <v>105</v>
      </c>
      <c r="K131" s="77"/>
      <c r="L131" s="33">
        <f>+(F131-((SUM(J131+K131))))</f>
        <v>0</v>
      </c>
      <c r="M131" s="37"/>
      <c r="N131" s="6"/>
    </row>
    <row r="132" spans="1:14" ht="15.75">
      <c r="A132" s="11">
        <f t="shared" si="5"/>
        <v>126</v>
      </c>
      <c r="B132" s="19" t="s">
        <v>51</v>
      </c>
      <c r="C132" s="19" t="s">
        <v>942</v>
      </c>
      <c r="D132" s="19">
        <v>101736</v>
      </c>
      <c r="E132" s="31" t="s">
        <v>692</v>
      </c>
      <c r="F132" s="14">
        <v>52.5</v>
      </c>
      <c r="G132" s="53">
        <v>50</v>
      </c>
      <c r="H132" s="54">
        <v>2.5</v>
      </c>
      <c r="I132" s="14"/>
      <c r="J132" s="18">
        <f t="shared" si="3"/>
        <v>52.5</v>
      </c>
      <c r="K132" s="32"/>
      <c r="L132" s="33">
        <f t="shared" si="7"/>
        <v>0</v>
      </c>
      <c r="M132" s="37"/>
      <c r="N132" s="6"/>
    </row>
    <row r="133" spans="1:14" ht="15.75">
      <c r="A133" s="11">
        <f t="shared" si="5"/>
        <v>127</v>
      </c>
      <c r="B133" s="19" t="s">
        <v>41</v>
      </c>
      <c r="C133" s="19" t="s">
        <v>942</v>
      </c>
      <c r="D133" s="19">
        <v>101741</v>
      </c>
      <c r="E133" s="31" t="s">
        <v>695</v>
      </c>
      <c r="F133" s="14">
        <v>105</v>
      </c>
      <c r="G133" s="53">
        <v>100</v>
      </c>
      <c r="H133" s="54">
        <v>5</v>
      </c>
      <c r="I133" s="250"/>
      <c r="J133" s="18">
        <f t="shared" si="3"/>
        <v>105</v>
      </c>
      <c r="K133" s="32"/>
      <c r="L133" s="33">
        <f t="shared" si="7"/>
        <v>0</v>
      </c>
      <c r="M133" s="37"/>
      <c r="N133" s="40"/>
    </row>
    <row r="134" spans="1:14" ht="15.75">
      <c r="A134" s="11">
        <f t="shared" si="5"/>
        <v>128</v>
      </c>
      <c r="B134" s="19" t="s">
        <v>696</v>
      </c>
      <c r="C134" s="19" t="s">
        <v>942</v>
      </c>
      <c r="D134" s="19">
        <v>101705</v>
      </c>
      <c r="E134" s="31" t="s">
        <v>697</v>
      </c>
      <c r="F134" s="14">
        <v>210</v>
      </c>
      <c r="G134" s="74">
        <v>200</v>
      </c>
      <c r="H134" s="54">
        <v>10</v>
      </c>
      <c r="I134" s="14"/>
      <c r="J134" s="18">
        <f t="shared" si="3"/>
        <v>210</v>
      </c>
      <c r="K134" s="32"/>
      <c r="L134" s="33">
        <f t="shared" si="7"/>
        <v>0</v>
      </c>
      <c r="M134" s="37"/>
      <c r="N134" s="40"/>
    </row>
    <row r="135" spans="1:14" ht="15.75">
      <c r="A135" s="11">
        <f t="shared" si="5"/>
        <v>129</v>
      </c>
      <c r="B135" s="116" t="s">
        <v>698</v>
      </c>
      <c r="C135" s="19" t="s">
        <v>942</v>
      </c>
      <c r="D135" s="19">
        <v>105069</v>
      </c>
      <c r="E135" s="31" t="s">
        <v>699</v>
      </c>
      <c r="F135" s="14">
        <v>108.82</v>
      </c>
      <c r="G135" s="74">
        <v>100</v>
      </c>
      <c r="H135" s="54">
        <v>5</v>
      </c>
      <c r="I135" s="14">
        <v>3.82</v>
      </c>
      <c r="J135" s="18">
        <f t="shared" si="3"/>
        <v>108.82</v>
      </c>
      <c r="K135" s="32"/>
      <c r="L135" s="33">
        <f t="shared" si="7"/>
        <v>0</v>
      </c>
      <c r="M135" s="37"/>
      <c r="N135" s="6"/>
    </row>
    <row r="136" spans="1:14" ht="15.75">
      <c r="A136" s="11">
        <f t="shared" si="5"/>
        <v>130</v>
      </c>
      <c r="B136" s="116" t="s">
        <v>898</v>
      </c>
      <c r="C136" s="19" t="s">
        <v>942</v>
      </c>
      <c r="D136" s="19">
        <v>101880</v>
      </c>
      <c r="E136" s="31" t="s">
        <v>899</v>
      </c>
      <c r="F136" s="14">
        <v>52.5</v>
      </c>
      <c r="G136" s="74">
        <v>50</v>
      </c>
      <c r="H136" s="54">
        <v>2</v>
      </c>
      <c r="I136" s="14">
        <v>0.5</v>
      </c>
      <c r="J136" s="18">
        <f t="shared" ref="J136:J198" si="8">SUM(G136+H136+I136)</f>
        <v>52.5</v>
      </c>
      <c r="K136" s="32"/>
      <c r="L136" s="33">
        <f>+(F136-((SUM(J136+K136))))</f>
        <v>0</v>
      </c>
      <c r="M136" s="37"/>
      <c r="N136" s="6"/>
    </row>
    <row r="137" spans="1:14" ht="15.75">
      <c r="A137" s="11">
        <f t="shared" ref="A137:A200" si="9">1+A136</f>
        <v>131</v>
      </c>
      <c r="B137" s="116" t="s">
        <v>700</v>
      </c>
      <c r="C137" s="19" t="s">
        <v>942</v>
      </c>
      <c r="D137" s="19">
        <v>105104</v>
      </c>
      <c r="E137" s="31" t="s">
        <v>701</v>
      </c>
      <c r="F137" s="14">
        <v>356.61</v>
      </c>
      <c r="G137" s="74">
        <v>200</v>
      </c>
      <c r="H137" s="54">
        <v>10</v>
      </c>
      <c r="I137" s="14">
        <v>146.61000000000001</v>
      </c>
      <c r="J137" s="18">
        <f t="shared" si="8"/>
        <v>356.61</v>
      </c>
      <c r="K137" s="32"/>
      <c r="L137" s="33">
        <f t="shared" si="7"/>
        <v>0</v>
      </c>
      <c r="M137" s="37"/>
      <c r="N137" s="6"/>
    </row>
    <row r="138" spans="1:14" ht="15.75">
      <c r="A138" s="11">
        <f t="shared" si="9"/>
        <v>132</v>
      </c>
      <c r="B138" s="132" t="s">
        <v>702</v>
      </c>
      <c r="C138" s="19" t="s">
        <v>942</v>
      </c>
      <c r="D138" s="197">
        <v>105145</v>
      </c>
      <c r="E138" s="31" t="s">
        <v>703</v>
      </c>
      <c r="F138" s="14">
        <v>52.5</v>
      </c>
      <c r="G138" s="238">
        <v>50</v>
      </c>
      <c r="H138" s="131">
        <v>2.5</v>
      </c>
      <c r="I138" s="14"/>
      <c r="J138" s="18">
        <f t="shared" si="8"/>
        <v>52.5</v>
      </c>
      <c r="K138" s="32"/>
      <c r="L138" s="33">
        <f t="shared" si="7"/>
        <v>0</v>
      </c>
      <c r="M138" s="37"/>
      <c r="N138" s="6"/>
    </row>
    <row r="139" spans="1:14" ht="15.75">
      <c r="A139" s="11">
        <f t="shared" si="9"/>
        <v>133</v>
      </c>
      <c r="B139" s="132" t="s">
        <v>704</v>
      </c>
      <c r="C139" s="19" t="s">
        <v>942</v>
      </c>
      <c r="D139" s="197">
        <v>105134</v>
      </c>
      <c r="E139" s="31" t="s">
        <v>705</v>
      </c>
      <c r="F139" s="14">
        <v>52.5</v>
      </c>
      <c r="G139" s="238">
        <v>50</v>
      </c>
      <c r="H139" s="131">
        <v>2.5</v>
      </c>
      <c r="I139" s="14"/>
      <c r="J139" s="18">
        <f t="shared" si="8"/>
        <v>52.5</v>
      </c>
      <c r="K139" s="32"/>
      <c r="L139" s="33">
        <f t="shared" si="7"/>
        <v>0</v>
      </c>
      <c r="M139" s="37"/>
      <c r="N139" s="6"/>
    </row>
    <row r="140" spans="1:14" ht="15.75">
      <c r="A140" s="11">
        <f t="shared" si="9"/>
        <v>134</v>
      </c>
      <c r="B140" s="69" t="s">
        <v>834</v>
      </c>
      <c r="C140" s="145" t="s">
        <v>942</v>
      </c>
      <c r="D140" s="19">
        <v>101082</v>
      </c>
      <c r="E140" s="127" t="s">
        <v>280</v>
      </c>
      <c r="F140" s="264">
        <v>246.36</v>
      </c>
      <c r="G140" s="53">
        <v>100</v>
      </c>
      <c r="H140" s="71">
        <v>5</v>
      </c>
      <c r="I140" s="251">
        <v>116.36</v>
      </c>
      <c r="J140" s="18">
        <f t="shared" si="8"/>
        <v>221.36</v>
      </c>
      <c r="K140" s="73">
        <v>25</v>
      </c>
      <c r="L140" s="33">
        <f t="shared" si="7"/>
        <v>0</v>
      </c>
      <c r="M140" s="37" t="s">
        <v>947</v>
      </c>
      <c r="N140" s="40"/>
    </row>
    <row r="141" spans="1:14" ht="15.75">
      <c r="A141" s="11">
        <f t="shared" si="9"/>
        <v>135</v>
      </c>
      <c r="B141" s="19" t="s">
        <v>835</v>
      </c>
      <c r="C141" s="19" t="s">
        <v>942</v>
      </c>
      <c r="D141" s="19">
        <v>101033</v>
      </c>
      <c r="E141" s="31" t="s">
        <v>301</v>
      </c>
      <c r="F141" s="14">
        <v>105</v>
      </c>
      <c r="G141" s="53">
        <v>100</v>
      </c>
      <c r="H141" s="54">
        <v>5</v>
      </c>
      <c r="I141" s="248"/>
      <c r="J141" s="18">
        <f t="shared" si="8"/>
        <v>105</v>
      </c>
      <c r="K141" s="32"/>
      <c r="L141" s="33">
        <f t="shared" si="7"/>
        <v>0</v>
      </c>
      <c r="M141" s="37"/>
      <c r="N141" s="6"/>
    </row>
    <row r="142" spans="1:14" ht="15.75">
      <c r="A142" s="11">
        <f t="shared" si="9"/>
        <v>136</v>
      </c>
      <c r="B142" s="116" t="s">
        <v>888</v>
      </c>
      <c r="C142" s="19" t="s">
        <v>942</v>
      </c>
      <c r="D142" s="19">
        <v>101857</v>
      </c>
      <c r="E142" s="31" t="s">
        <v>889</v>
      </c>
      <c r="F142" s="14">
        <v>52.5</v>
      </c>
      <c r="G142" s="74">
        <v>50</v>
      </c>
      <c r="H142" s="54">
        <v>2.5</v>
      </c>
      <c r="I142" s="14"/>
      <c r="J142" s="18">
        <f t="shared" si="8"/>
        <v>52.5</v>
      </c>
      <c r="K142" s="32"/>
      <c r="L142" s="33">
        <f t="shared" si="7"/>
        <v>0</v>
      </c>
      <c r="M142" s="37"/>
      <c r="N142" s="6"/>
    </row>
    <row r="143" spans="1:14" ht="15.75">
      <c r="A143" s="11">
        <f t="shared" si="9"/>
        <v>137</v>
      </c>
      <c r="B143" s="116" t="s">
        <v>890</v>
      </c>
      <c r="C143" s="19" t="s">
        <v>942</v>
      </c>
      <c r="D143" s="19">
        <v>101861</v>
      </c>
      <c r="E143" s="31" t="s">
        <v>891</v>
      </c>
      <c r="F143" s="14">
        <v>1065.3599999999999</v>
      </c>
      <c r="G143" s="74">
        <v>100</v>
      </c>
      <c r="H143" s="54">
        <v>5</v>
      </c>
      <c r="I143" s="14">
        <v>960.36</v>
      </c>
      <c r="J143" s="18">
        <f t="shared" si="8"/>
        <v>1065.3600000000001</v>
      </c>
      <c r="K143" s="32"/>
      <c r="L143" s="33">
        <f t="shared" si="7"/>
        <v>-2.2737367544323206E-13</v>
      </c>
      <c r="M143" s="37"/>
      <c r="N143" s="6"/>
    </row>
    <row r="144" spans="1:14" ht="15.75">
      <c r="A144" s="11">
        <f t="shared" si="9"/>
        <v>138</v>
      </c>
      <c r="B144" s="19" t="s">
        <v>850</v>
      </c>
      <c r="C144" s="19" t="s">
        <v>942</v>
      </c>
      <c r="D144" s="19">
        <v>101730</v>
      </c>
      <c r="E144" s="118" t="s">
        <v>851</v>
      </c>
      <c r="F144" s="14">
        <v>52.5</v>
      </c>
      <c r="G144" s="20">
        <v>50</v>
      </c>
      <c r="H144" s="21">
        <v>2.5</v>
      </c>
      <c r="I144" s="62"/>
      <c r="J144" s="18">
        <f t="shared" si="8"/>
        <v>52.5</v>
      </c>
      <c r="K144" s="32"/>
      <c r="L144" s="33">
        <f t="shared" si="7"/>
        <v>0</v>
      </c>
      <c r="M144" s="37"/>
      <c r="N144" s="6"/>
    </row>
    <row r="145" spans="1:14" ht="15.75">
      <c r="A145" s="11">
        <f t="shared" si="9"/>
        <v>139</v>
      </c>
      <c r="B145" s="19" t="s">
        <v>852</v>
      </c>
      <c r="C145" s="19" t="s">
        <v>942</v>
      </c>
      <c r="D145" s="19">
        <v>101724</v>
      </c>
      <c r="E145" s="118" t="s">
        <v>853</v>
      </c>
      <c r="F145" s="14">
        <v>175.16</v>
      </c>
      <c r="G145" s="20">
        <v>100</v>
      </c>
      <c r="H145" s="21">
        <v>5</v>
      </c>
      <c r="I145" s="252">
        <v>70.16</v>
      </c>
      <c r="J145" s="18">
        <f t="shared" si="8"/>
        <v>175.16</v>
      </c>
      <c r="K145" s="32"/>
      <c r="L145" s="33">
        <f t="shared" si="7"/>
        <v>0</v>
      </c>
      <c r="M145" s="215"/>
      <c r="N145" s="6"/>
    </row>
    <row r="146" spans="1:14" ht="15.75">
      <c r="A146" s="11">
        <f t="shared" si="9"/>
        <v>140</v>
      </c>
      <c r="B146" s="30" t="s">
        <v>11</v>
      </c>
      <c r="C146" s="19" t="s">
        <v>942</v>
      </c>
      <c r="D146" s="19">
        <v>101084</v>
      </c>
      <c r="E146" s="50" t="s">
        <v>858</v>
      </c>
      <c r="F146" s="249">
        <v>52.5</v>
      </c>
      <c r="G146" s="26">
        <v>50</v>
      </c>
      <c r="H146" s="27">
        <v>2.5</v>
      </c>
      <c r="I146" s="80"/>
      <c r="J146" s="18">
        <f t="shared" si="8"/>
        <v>52.5</v>
      </c>
      <c r="K146" s="35"/>
      <c r="L146" s="36">
        <f t="shared" si="7"/>
        <v>0</v>
      </c>
      <c r="M146" s="215"/>
      <c r="N146" s="6"/>
    </row>
    <row r="147" spans="1:14" ht="15.75">
      <c r="A147" s="11">
        <f t="shared" si="9"/>
        <v>141</v>
      </c>
      <c r="B147" s="19" t="s">
        <v>54</v>
      </c>
      <c r="C147" s="19" t="s">
        <v>942</v>
      </c>
      <c r="D147" s="19">
        <v>101740</v>
      </c>
      <c r="E147" s="31" t="s">
        <v>56</v>
      </c>
      <c r="F147" s="14">
        <v>182.88</v>
      </c>
      <c r="G147" s="53">
        <v>100</v>
      </c>
      <c r="H147" s="54">
        <v>5</v>
      </c>
      <c r="I147" s="14">
        <v>77.88</v>
      </c>
      <c r="J147" s="18">
        <f t="shared" si="8"/>
        <v>182.88</v>
      </c>
      <c r="K147" s="32"/>
      <c r="L147" s="33">
        <f t="shared" si="7"/>
        <v>0</v>
      </c>
      <c r="M147" s="215"/>
      <c r="N147" s="6"/>
    </row>
    <row r="148" spans="1:14" ht="15.75">
      <c r="A148" s="11">
        <f t="shared" si="9"/>
        <v>142</v>
      </c>
      <c r="B148" s="19" t="s">
        <v>17</v>
      </c>
      <c r="C148" s="19" t="s">
        <v>942</v>
      </c>
      <c r="D148" s="19">
        <v>101713</v>
      </c>
      <c r="E148" s="125" t="s">
        <v>860</v>
      </c>
      <c r="F148" s="14">
        <v>52.5</v>
      </c>
      <c r="G148" s="20">
        <v>50</v>
      </c>
      <c r="H148" s="21">
        <v>2.5</v>
      </c>
      <c r="I148" s="14"/>
      <c r="J148" s="18">
        <f t="shared" si="8"/>
        <v>52.5</v>
      </c>
      <c r="K148" s="32"/>
      <c r="L148" s="33">
        <f t="shared" si="7"/>
        <v>0</v>
      </c>
      <c r="M148" s="37"/>
      <c r="N148" s="6"/>
    </row>
    <row r="149" spans="1:14" ht="15.75">
      <c r="A149" s="11">
        <f t="shared" si="9"/>
        <v>143</v>
      </c>
      <c r="B149" s="19" t="s">
        <v>23</v>
      </c>
      <c r="C149" s="19" t="s">
        <v>942</v>
      </c>
      <c r="D149" s="19">
        <v>101021</v>
      </c>
      <c r="E149" s="125" t="s">
        <v>861</v>
      </c>
      <c r="F149" s="14">
        <v>74.66</v>
      </c>
      <c r="G149" s="20">
        <v>50</v>
      </c>
      <c r="H149" s="21">
        <v>2.5</v>
      </c>
      <c r="I149" s="14">
        <v>22.16</v>
      </c>
      <c r="J149" s="18">
        <f t="shared" si="8"/>
        <v>74.66</v>
      </c>
      <c r="K149" s="32"/>
      <c r="L149" s="33">
        <f t="shared" si="7"/>
        <v>0</v>
      </c>
      <c r="M149" s="215"/>
      <c r="N149" s="6"/>
    </row>
    <row r="150" spans="1:14" ht="15.75">
      <c r="A150" s="11">
        <f t="shared" si="9"/>
        <v>144</v>
      </c>
      <c r="B150" s="19" t="s">
        <v>26</v>
      </c>
      <c r="C150" s="19" t="s">
        <v>942</v>
      </c>
      <c r="D150" s="19">
        <v>101024</v>
      </c>
      <c r="E150" s="125" t="s">
        <v>862</v>
      </c>
      <c r="F150" s="14">
        <v>52.5</v>
      </c>
      <c r="G150" s="20">
        <v>50</v>
      </c>
      <c r="H150" s="21">
        <v>2.5</v>
      </c>
      <c r="I150" s="14"/>
      <c r="J150" s="18">
        <f t="shared" si="8"/>
        <v>52.5</v>
      </c>
      <c r="K150" s="32"/>
      <c r="L150" s="33">
        <f t="shared" si="7"/>
        <v>0</v>
      </c>
      <c r="M150" s="215"/>
      <c r="N150" s="6"/>
    </row>
    <row r="151" spans="1:14" ht="15.75">
      <c r="A151" s="11">
        <f t="shared" si="9"/>
        <v>145</v>
      </c>
      <c r="B151" s="19" t="s">
        <v>69</v>
      </c>
      <c r="C151" s="19" t="s">
        <v>942</v>
      </c>
      <c r="D151" s="19">
        <v>101749</v>
      </c>
      <c r="E151" s="125" t="s">
        <v>864</v>
      </c>
      <c r="F151" s="14">
        <v>107.4</v>
      </c>
      <c r="G151" s="53">
        <v>100</v>
      </c>
      <c r="H151" s="54">
        <v>5</v>
      </c>
      <c r="I151" s="14">
        <v>2.4</v>
      </c>
      <c r="J151" s="18">
        <f t="shared" si="8"/>
        <v>107.4</v>
      </c>
      <c r="K151" s="32"/>
      <c r="L151" s="33">
        <f t="shared" si="7"/>
        <v>0</v>
      </c>
      <c r="M151" s="215"/>
      <c r="N151" s="6"/>
    </row>
    <row r="152" spans="1:14" ht="15.75">
      <c r="A152" s="11">
        <f t="shared" si="9"/>
        <v>146</v>
      </c>
      <c r="B152" s="19" t="s">
        <v>71</v>
      </c>
      <c r="C152" s="19" t="s">
        <v>942</v>
      </c>
      <c r="D152" s="19">
        <v>101750</v>
      </c>
      <c r="E152" s="125" t="s">
        <v>865</v>
      </c>
      <c r="F152" s="14">
        <v>125.1</v>
      </c>
      <c r="G152" s="53">
        <v>100</v>
      </c>
      <c r="H152" s="54">
        <v>5</v>
      </c>
      <c r="I152" s="14">
        <v>20.100000000000001</v>
      </c>
      <c r="J152" s="18">
        <f t="shared" si="8"/>
        <v>125.1</v>
      </c>
      <c r="K152" s="32"/>
      <c r="L152" s="33">
        <f t="shared" si="7"/>
        <v>0</v>
      </c>
      <c r="M152" s="215"/>
      <c r="N152" s="6"/>
    </row>
    <row r="153" spans="1:14" ht="15.75">
      <c r="A153" s="11">
        <f t="shared" si="9"/>
        <v>147</v>
      </c>
      <c r="B153" s="19" t="s">
        <v>878</v>
      </c>
      <c r="C153" s="19" t="s">
        <v>942</v>
      </c>
      <c r="D153" s="19">
        <v>101807</v>
      </c>
      <c r="E153" s="31" t="s">
        <v>879</v>
      </c>
      <c r="F153" s="14">
        <v>145.35</v>
      </c>
      <c r="G153" s="74">
        <v>100</v>
      </c>
      <c r="H153" s="54">
        <v>5</v>
      </c>
      <c r="I153" s="14">
        <v>40.35</v>
      </c>
      <c r="J153" s="18">
        <f t="shared" si="8"/>
        <v>145.35</v>
      </c>
      <c r="K153" s="32"/>
      <c r="L153" s="33">
        <f t="shared" si="7"/>
        <v>0</v>
      </c>
      <c r="M153" s="215"/>
      <c r="N153" s="6"/>
    </row>
    <row r="154" spans="1:14" ht="15.75">
      <c r="A154" s="11">
        <f t="shared" si="9"/>
        <v>148</v>
      </c>
      <c r="B154" s="19" t="s">
        <v>880</v>
      </c>
      <c r="C154" s="19" t="s">
        <v>942</v>
      </c>
      <c r="D154" s="19">
        <v>101832</v>
      </c>
      <c r="E154" s="31" t="s">
        <v>881</v>
      </c>
      <c r="F154" s="14">
        <v>172.76</v>
      </c>
      <c r="G154" s="74">
        <v>100</v>
      </c>
      <c r="H154" s="54">
        <v>5</v>
      </c>
      <c r="I154" s="14">
        <v>67.760000000000005</v>
      </c>
      <c r="J154" s="18">
        <f t="shared" si="8"/>
        <v>172.76</v>
      </c>
      <c r="K154" s="32"/>
      <c r="L154" s="33">
        <f t="shared" si="7"/>
        <v>0</v>
      </c>
      <c r="M154" s="37"/>
      <c r="N154" s="6"/>
    </row>
    <row r="155" spans="1:14" ht="15.75">
      <c r="A155" s="11">
        <f t="shared" si="9"/>
        <v>149</v>
      </c>
      <c r="B155" s="19" t="s">
        <v>902</v>
      </c>
      <c r="C155" s="19" t="s">
        <v>942</v>
      </c>
      <c r="D155" s="19">
        <v>101491</v>
      </c>
      <c r="E155" s="31" t="s">
        <v>903</v>
      </c>
      <c r="F155" s="14">
        <v>52.5</v>
      </c>
      <c r="G155" s="74">
        <v>50</v>
      </c>
      <c r="H155" s="54">
        <v>2.5</v>
      </c>
      <c r="I155" s="14"/>
      <c r="J155" s="18">
        <f t="shared" si="8"/>
        <v>52.5</v>
      </c>
      <c r="K155" s="32"/>
      <c r="L155" s="33">
        <f t="shared" si="7"/>
        <v>0</v>
      </c>
      <c r="M155" s="215"/>
      <c r="N155" s="6"/>
    </row>
    <row r="156" spans="1:14" ht="15.75">
      <c r="A156" s="11">
        <f t="shared" si="9"/>
        <v>150</v>
      </c>
      <c r="B156" s="19" t="s">
        <v>423</v>
      </c>
      <c r="C156" s="19" t="s">
        <v>942</v>
      </c>
      <c r="D156" s="19">
        <v>101626</v>
      </c>
      <c r="E156" s="118" t="s">
        <v>710</v>
      </c>
      <c r="F156" s="14">
        <v>57.63</v>
      </c>
      <c r="G156" s="74">
        <v>50</v>
      </c>
      <c r="H156" s="75">
        <v>2.5</v>
      </c>
      <c r="I156" s="14"/>
      <c r="J156" s="18">
        <f t="shared" si="8"/>
        <v>52.5</v>
      </c>
      <c r="K156" s="32">
        <v>5.13</v>
      </c>
      <c r="L156" s="33">
        <f t="shared" si="7"/>
        <v>0</v>
      </c>
      <c r="M156" s="37" t="s">
        <v>947</v>
      </c>
      <c r="N156" s="6"/>
    </row>
    <row r="157" spans="1:14" ht="15.75">
      <c r="A157" s="11">
        <f t="shared" si="9"/>
        <v>151</v>
      </c>
      <c r="B157" s="19" t="s">
        <v>404</v>
      </c>
      <c r="C157" s="19" t="s">
        <v>942</v>
      </c>
      <c r="D157" s="19">
        <v>101792</v>
      </c>
      <c r="E157" s="31" t="s">
        <v>966</v>
      </c>
      <c r="F157" s="14">
        <v>52.5</v>
      </c>
      <c r="G157" s="74">
        <v>50</v>
      </c>
      <c r="H157" s="75">
        <v>2.5</v>
      </c>
      <c r="I157" s="14"/>
      <c r="J157" s="18">
        <f t="shared" si="8"/>
        <v>52.5</v>
      </c>
      <c r="K157" s="32"/>
      <c r="L157" s="33">
        <f t="shared" si="7"/>
        <v>0</v>
      </c>
      <c r="M157" s="215"/>
      <c r="N157" s="6"/>
    </row>
    <row r="158" spans="1:14" ht="15.75">
      <c r="A158" s="11">
        <f t="shared" si="9"/>
        <v>152</v>
      </c>
      <c r="B158" s="19" t="s">
        <v>712</v>
      </c>
      <c r="C158" s="19" t="s">
        <v>942</v>
      </c>
      <c r="D158" s="19">
        <v>101792</v>
      </c>
      <c r="E158" s="118" t="s">
        <v>713</v>
      </c>
      <c r="F158" s="14">
        <v>52.5</v>
      </c>
      <c r="G158" s="74">
        <v>50</v>
      </c>
      <c r="H158" s="75">
        <v>2.5</v>
      </c>
      <c r="I158" s="14"/>
      <c r="J158" s="18">
        <f t="shared" si="8"/>
        <v>52.5</v>
      </c>
      <c r="K158" s="32"/>
      <c r="L158" s="33">
        <f t="shared" si="7"/>
        <v>0</v>
      </c>
      <c r="M158" s="215"/>
      <c r="N158" s="6"/>
    </row>
    <row r="159" spans="1:14" ht="15.75">
      <c r="A159" s="11">
        <f t="shared" si="9"/>
        <v>153</v>
      </c>
      <c r="B159" s="19" t="s">
        <v>714</v>
      </c>
      <c r="C159" s="19" t="s">
        <v>942</v>
      </c>
      <c r="D159" s="19">
        <v>101711</v>
      </c>
      <c r="E159" s="118" t="s">
        <v>715</v>
      </c>
      <c r="F159" s="14">
        <v>52.5</v>
      </c>
      <c r="G159" s="74">
        <v>50</v>
      </c>
      <c r="H159" s="75">
        <v>2.5</v>
      </c>
      <c r="I159" s="14"/>
      <c r="J159" s="18">
        <f t="shared" si="8"/>
        <v>52.5</v>
      </c>
      <c r="K159" s="32"/>
      <c r="L159" s="33">
        <f t="shared" si="7"/>
        <v>0</v>
      </c>
      <c r="M159" s="215"/>
      <c r="N159" s="6"/>
    </row>
    <row r="160" spans="1:14" ht="15.75">
      <c r="A160" s="11">
        <f t="shared" si="9"/>
        <v>154</v>
      </c>
      <c r="B160" s="19" t="s">
        <v>716</v>
      </c>
      <c r="C160" s="19" t="s">
        <v>942</v>
      </c>
      <c r="D160" s="19">
        <v>101035</v>
      </c>
      <c r="E160" s="31" t="s">
        <v>717</v>
      </c>
      <c r="F160" s="14">
        <v>52.5</v>
      </c>
      <c r="G160" s="20">
        <v>50</v>
      </c>
      <c r="H160" s="75">
        <v>2.5</v>
      </c>
      <c r="I160" s="14"/>
      <c r="J160" s="18">
        <f t="shared" si="8"/>
        <v>52.5</v>
      </c>
      <c r="K160" s="32"/>
      <c r="L160" s="33">
        <f t="shared" si="7"/>
        <v>0</v>
      </c>
      <c r="M160" s="215"/>
      <c r="N160" s="6"/>
    </row>
    <row r="161" spans="1:14" ht="15.75">
      <c r="A161" s="11">
        <f t="shared" si="9"/>
        <v>155</v>
      </c>
      <c r="B161" s="19" t="s">
        <v>718</v>
      </c>
      <c r="C161" s="19" t="s">
        <v>942</v>
      </c>
      <c r="D161" s="19">
        <v>101071</v>
      </c>
      <c r="E161" s="31" t="s">
        <v>163</v>
      </c>
      <c r="F161" s="14">
        <v>52.5</v>
      </c>
      <c r="G161" s="20">
        <v>50</v>
      </c>
      <c r="H161" s="21">
        <v>2.5</v>
      </c>
      <c r="I161" s="14"/>
      <c r="J161" s="18">
        <f t="shared" si="8"/>
        <v>52.5</v>
      </c>
      <c r="K161" s="32"/>
      <c r="L161" s="33">
        <f t="shared" si="7"/>
        <v>0</v>
      </c>
      <c r="M161" s="215"/>
      <c r="N161" s="6"/>
    </row>
    <row r="162" spans="1:14" ht="15.75">
      <c r="A162" s="11">
        <f t="shared" si="9"/>
        <v>156</v>
      </c>
      <c r="B162" s="19" t="s">
        <v>719</v>
      </c>
      <c r="C162" s="19" t="s">
        <v>942</v>
      </c>
      <c r="D162" s="19">
        <v>101090</v>
      </c>
      <c r="E162" s="31" t="s">
        <v>177</v>
      </c>
      <c r="F162" s="14">
        <v>52.5</v>
      </c>
      <c r="G162" s="20">
        <v>50</v>
      </c>
      <c r="H162" s="21">
        <v>2.5</v>
      </c>
      <c r="I162" s="14"/>
      <c r="J162" s="18">
        <f t="shared" si="8"/>
        <v>52.5</v>
      </c>
      <c r="K162" s="32"/>
      <c r="L162" s="33">
        <f t="shared" si="7"/>
        <v>0</v>
      </c>
      <c r="M162" s="215"/>
      <c r="N162" s="6"/>
    </row>
    <row r="163" spans="1:14" ht="15.75">
      <c r="A163" s="11">
        <f t="shared" si="9"/>
        <v>157</v>
      </c>
      <c r="B163" s="30" t="s">
        <v>720</v>
      </c>
      <c r="C163" s="19" t="s">
        <v>942</v>
      </c>
      <c r="D163" s="19">
        <v>101171</v>
      </c>
      <c r="E163" s="31" t="s">
        <v>161</v>
      </c>
      <c r="F163" s="14">
        <v>52.5</v>
      </c>
      <c r="G163" s="20">
        <v>50</v>
      </c>
      <c r="H163" s="21">
        <v>2.5</v>
      </c>
      <c r="I163" s="14"/>
      <c r="J163" s="18">
        <f t="shared" si="8"/>
        <v>52.5</v>
      </c>
      <c r="K163" s="32"/>
      <c r="L163" s="33">
        <f t="shared" si="7"/>
        <v>0</v>
      </c>
      <c r="M163" s="215"/>
      <c r="N163" s="6"/>
    </row>
    <row r="164" spans="1:14" ht="15.75">
      <c r="A164" s="11">
        <f t="shared" si="9"/>
        <v>158</v>
      </c>
      <c r="B164" s="19" t="s">
        <v>721</v>
      </c>
      <c r="C164" s="19" t="s">
        <v>942</v>
      </c>
      <c r="D164" s="19">
        <v>101273</v>
      </c>
      <c r="E164" s="31" t="s">
        <v>722</v>
      </c>
      <c r="F164" s="14">
        <v>52.5</v>
      </c>
      <c r="G164" s="74">
        <v>50</v>
      </c>
      <c r="H164" s="21">
        <v>2.5</v>
      </c>
      <c r="I164" s="14"/>
      <c r="J164" s="18">
        <f t="shared" si="8"/>
        <v>52.5</v>
      </c>
      <c r="K164" s="32"/>
      <c r="L164" s="33">
        <f t="shared" si="7"/>
        <v>0</v>
      </c>
      <c r="M164" s="215"/>
      <c r="N164" s="6"/>
    </row>
    <row r="165" spans="1:14" ht="15.75">
      <c r="A165" s="11">
        <f t="shared" si="9"/>
        <v>159</v>
      </c>
      <c r="B165" s="19" t="s">
        <v>723</v>
      </c>
      <c r="C165" s="19" t="s">
        <v>942</v>
      </c>
      <c r="D165" s="19">
        <v>101698</v>
      </c>
      <c r="E165" s="31" t="s">
        <v>724</v>
      </c>
      <c r="F165" s="14">
        <v>52.5</v>
      </c>
      <c r="G165" s="20">
        <v>50</v>
      </c>
      <c r="H165" s="21">
        <v>2.5</v>
      </c>
      <c r="I165" s="14"/>
      <c r="J165" s="18">
        <f t="shared" si="8"/>
        <v>52.5</v>
      </c>
      <c r="K165" s="32"/>
      <c r="L165" s="33">
        <f t="shared" si="7"/>
        <v>0</v>
      </c>
      <c r="M165" s="215"/>
      <c r="N165" s="6"/>
    </row>
    <row r="166" spans="1:14" ht="15.75">
      <c r="A166" s="11">
        <f t="shared" si="9"/>
        <v>160</v>
      </c>
      <c r="B166" s="19" t="s">
        <v>725</v>
      </c>
      <c r="C166" s="19" t="s">
        <v>942</v>
      </c>
      <c r="D166" s="19">
        <v>101315</v>
      </c>
      <c r="E166" s="118" t="s">
        <v>155</v>
      </c>
      <c r="F166" s="14">
        <v>52.5</v>
      </c>
      <c r="G166" s="74">
        <v>50</v>
      </c>
      <c r="H166" s="21">
        <v>2.5</v>
      </c>
      <c r="I166" s="14"/>
      <c r="J166" s="18">
        <f t="shared" si="8"/>
        <v>52.5</v>
      </c>
      <c r="K166" s="32"/>
      <c r="L166" s="33">
        <f t="shared" si="7"/>
        <v>0</v>
      </c>
      <c r="M166" s="215"/>
      <c r="N166" s="6"/>
    </row>
    <row r="167" spans="1:14" ht="15.75">
      <c r="A167" s="11">
        <f t="shared" si="9"/>
        <v>161</v>
      </c>
      <c r="B167" s="19" t="s">
        <v>727</v>
      </c>
      <c r="C167" s="211" t="s">
        <v>942</v>
      </c>
      <c r="D167" s="211">
        <v>101601</v>
      </c>
      <c r="E167" s="31" t="s">
        <v>967</v>
      </c>
      <c r="F167" s="14">
        <v>52.5</v>
      </c>
      <c r="G167" s="74">
        <v>50</v>
      </c>
      <c r="H167" s="21">
        <v>2.5</v>
      </c>
      <c r="I167" s="14"/>
      <c r="J167" s="18">
        <f t="shared" si="8"/>
        <v>52.5</v>
      </c>
      <c r="K167" s="32"/>
      <c r="L167" s="33">
        <f t="shared" si="7"/>
        <v>0</v>
      </c>
      <c r="M167" s="215"/>
      <c r="N167" s="6"/>
    </row>
    <row r="168" spans="1:14" ht="15.75">
      <c r="A168" s="11">
        <f t="shared" si="9"/>
        <v>162</v>
      </c>
      <c r="B168" s="19" t="s">
        <v>729</v>
      </c>
      <c r="C168" s="19" t="s">
        <v>942</v>
      </c>
      <c r="D168" s="19">
        <v>101335</v>
      </c>
      <c r="E168" s="31" t="s">
        <v>173</v>
      </c>
      <c r="F168" s="14">
        <v>52.5</v>
      </c>
      <c r="G168" s="20">
        <v>50</v>
      </c>
      <c r="H168" s="21">
        <v>2.5</v>
      </c>
      <c r="I168" s="14"/>
      <c r="J168" s="18">
        <f t="shared" si="8"/>
        <v>52.5</v>
      </c>
      <c r="K168" s="32"/>
      <c r="L168" s="33">
        <f t="shared" si="7"/>
        <v>0</v>
      </c>
      <c r="M168" s="215"/>
      <c r="N168" s="6"/>
    </row>
    <row r="169" spans="1:14" ht="15.75">
      <c r="A169" s="11">
        <f t="shared" si="9"/>
        <v>163</v>
      </c>
      <c r="B169" s="19" t="s">
        <v>730</v>
      </c>
      <c r="C169" s="19" t="s">
        <v>942</v>
      </c>
      <c r="D169" s="19">
        <v>101413</v>
      </c>
      <c r="E169" s="31" t="s">
        <v>159</v>
      </c>
      <c r="F169" s="14">
        <v>52.5</v>
      </c>
      <c r="G169" s="20">
        <v>50</v>
      </c>
      <c r="H169" s="21">
        <v>2.5</v>
      </c>
      <c r="I169" s="14"/>
      <c r="J169" s="18">
        <f t="shared" si="8"/>
        <v>52.5</v>
      </c>
      <c r="K169" s="32"/>
      <c r="L169" s="33">
        <f t="shared" si="7"/>
        <v>0</v>
      </c>
      <c r="M169" s="215"/>
      <c r="N169" s="6"/>
    </row>
    <row r="170" spans="1:14" ht="15.75">
      <c r="A170" s="11">
        <f t="shared" si="9"/>
        <v>164</v>
      </c>
      <c r="B170" s="19" t="s">
        <v>918</v>
      </c>
      <c r="C170" s="19" t="s">
        <v>942</v>
      </c>
      <c r="D170" s="19">
        <v>101882</v>
      </c>
      <c r="E170" s="31" t="s">
        <v>968</v>
      </c>
      <c r="F170" s="14">
        <v>52.5</v>
      </c>
      <c r="G170" s="74">
        <v>50</v>
      </c>
      <c r="H170" s="54">
        <v>2.5</v>
      </c>
      <c r="I170" s="14"/>
      <c r="J170" s="18">
        <f t="shared" si="8"/>
        <v>52.5</v>
      </c>
      <c r="K170" s="32"/>
      <c r="L170" s="33">
        <f>+(F170-((SUM(J170+K170))))</f>
        <v>0</v>
      </c>
      <c r="M170" s="215"/>
      <c r="N170" s="40"/>
    </row>
    <row r="171" spans="1:14" ht="15.75">
      <c r="A171" s="11">
        <f t="shared" si="9"/>
        <v>165</v>
      </c>
      <c r="B171" s="19" t="s">
        <v>731</v>
      </c>
      <c r="C171" s="211" t="s">
        <v>942</v>
      </c>
      <c r="D171" s="211">
        <v>101903</v>
      </c>
      <c r="E171" s="31" t="s">
        <v>732</v>
      </c>
      <c r="F171" s="14">
        <v>52.5</v>
      </c>
      <c r="G171" s="74">
        <v>50</v>
      </c>
      <c r="H171" s="21">
        <v>2.5</v>
      </c>
      <c r="I171" s="14"/>
      <c r="J171" s="18">
        <f t="shared" si="8"/>
        <v>52.5</v>
      </c>
      <c r="K171" s="32"/>
      <c r="L171" s="33">
        <f t="shared" si="7"/>
        <v>0</v>
      </c>
      <c r="M171" s="215"/>
      <c r="N171" s="6"/>
    </row>
    <row r="172" spans="1:14" ht="15.75">
      <c r="A172" s="11">
        <f t="shared" si="9"/>
        <v>166</v>
      </c>
      <c r="B172" s="19" t="s">
        <v>920</v>
      </c>
      <c r="C172" s="19" t="s">
        <v>942</v>
      </c>
      <c r="D172" s="19">
        <v>101881</v>
      </c>
      <c r="E172" s="31" t="s">
        <v>969</v>
      </c>
      <c r="F172" s="14">
        <v>52.5</v>
      </c>
      <c r="G172" s="74">
        <v>50</v>
      </c>
      <c r="H172" s="54">
        <v>2.5</v>
      </c>
      <c r="I172" s="14"/>
      <c r="J172" s="18">
        <f t="shared" si="8"/>
        <v>52.5</v>
      </c>
      <c r="K172" s="32"/>
      <c r="L172" s="33">
        <f>+(F172-((SUM(J172+K172))))</f>
        <v>0</v>
      </c>
      <c r="M172" s="37"/>
      <c r="N172" s="40"/>
    </row>
    <row r="173" spans="1:14" ht="15.75">
      <c r="A173" s="11">
        <f t="shared" si="9"/>
        <v>167</v>
      </c>
      <c r="B173" s="19" t="s">
        <v>733</v>
      </c>
      <c r="C173" s="19" t="s">
        <v>942</v>
      </c>
      <c r="D173" s="19">
        <v>101505</v>
      </c>
      <c r="E173" s="31" t="s">
        <v>734</v>
      </c>
      <c r="F173" s="14">
        <v>52.5</v>
      </c>
      <c r="G173" s="20">
        <v>50</v>
      </c>
      <c r="H173" s="21">
        <v>2.5</v>
      </c>
      <c r="I173" s="14"/>
      <c r="J173" s="18">
        <f t="shared" si="8"/>
        <v>52.5</v>
      </c>
      <c r="K173" s="32"/>
      <c r="L173" s="33">
        <f t="shared" si="7"/>
        <v>0</v>
      </c>
      <c r="M173" s="215"/>
      <c r="N173" s="6"/>
    </row>
    <row r="174" spans="1:14" ht="15.75">
      <c r="A174" s="11">
        <f t="shared" si="9"/>
        <v>168</v>
      </c>
      <c r="B174" s="19" t="s">
        <v>735</v>
      </c>
      <c r="C174" s="19" t="s">
        <v>942</v>
      </c>
      <c r="D174" s="19">
        <v>101682</v>
      </c>
      <c r="E174" s="118" t="s">
        <v>736</v>
      </c>
      <c r="F174" s="14">
        <v>52.5</v>
      </c>
      <c r="G174" s="74">
        <v>50</v>
      </c>
      <c r="H174" s="21">
        <v>2.5</v>
      </c>
      <c r="I174" s="14"/>
      <c r="J174" s="18">
        <f t="shared" si="8"/>
        <v>52.5</v>
      </c>
      <c r="K174" s="32"/>
      <c r="L174" s="33">
        <f t="shared" si="7"/>
        <v>0</v>
      </c>
      <c r="M174" s="215"/>
    </row>
    <row r="175" spans="1:14" ht="15.75">
      <c r="A175" s="11">
        <f t="shared" si="9"/>
        <v>169</v>
      </c>
      <c r="B175" s="30" t="s">
        <v>401</v>
      </c>
      <c r="C175" s="19" t="s">
        <v>942</v>
      </c>
      <c r="D175" s="19">
        <v>101907</v>
      </c>
      <c r="E175" s="50" t="s">
        <v>970</v>
      </c>
      <c r="F175" s="14">
        <v>52.5</v>
      </c>
      <c r="G175" s="74">
        <v>50</v>
      </c>
      <c r="H175" s="75">
        <v>2.5</v>
      </c>
      <c r="I175" s="14"/>
      <c r="J175" s="18">
        <f t="shared" si="8"/>
        <v>52.5</v>
      </c>
      <c r="K175" s="35"/>
      <c r="L175" s="33">
        <f t="shared" si="7"/>
        <v>0</v>
      </c>
      <c r="M175" s="215"/>
    </row>
    <row r="176" spans="1:14" ht="15.75">
      <c r="A176" s="11">
        <f t="shared" si="9"/>
        <v>170</v>
      </c>
      <c r="B176" s="19" t="s">
        <v>740</v>
      </c>
      <c r="C176" s="19" t="s">
        <v>942</v>
      </c>
      <c r="D176" s="19">
        <v>101523</v>
      </c>
      <c r="E176" s="168" t="s">
        <v>741</v>
      </c>
      <c r="F176" s="14">
        <v>52.5</v>
      </c>
      <c r="G176" s="74">
        <v>50</v>
      </c>
      <c r="H176" s="75">
        <v>2.5</v>
      </c>
      <c r="I176" s="14"/>
      <c r="J176" s="18">
        <f t="shared" si="8"/>
        <v>52.5</v>
      </c>
      <c r="K176" s="32"/>
      <c r="L176" s="33">
        <f t="shared" si="7"/>
        <v>0</v>
      </c>
      <c r="M176" s="215"/>
    </row>
    <row r="177" spans="1:13" ht="15.75">
      <c r="A177" s="11">
        <f t="shared" si="9"/>
        <v>171</v>
      </c>
      <c r="B177" s="19" t="s">
        <v>742</v>
      </c>
      <c r="C177" s="19" t="s">
        <v>942</v>
      </c>
      <c r="D177" s="19">
        <v>101818</v>
      </c>
      <c r="E177" s="31" t="s">
        <v>743</v>
      </c>
      <c r="F177" s="14">
        <v>188.28</v>
      </c>
      <c r="G177" s="74">
        <v>50</v>
      </c>
      <c r="H177" s="54">
        <v>2.5</v>
      </c>
      <c r="I177" s="14">
        <v>135.78</v>
      </c>
      <c r="J177" s="18">
        <f t="shared" si="8"/>
        <v>188.28</v>
      </c>
      <c r="K177" s="32"/>
      <c r="L177" s="33">
        <f t="shared" si="7"/>
        <v>0</v>
      </c>
      <c r="M177" s="215"/>
    </row>
    <row r="178" spans="1:13" ht="15.75">
      <c r="A178" s="11">
        <f t="shared" si="9"/>
        <v>172</v>
      </c>
      <c r="B178" s="19" t="s">
        <v>744</v>
      </c>
      <c r="C178" s="19" t="s">
        <v>942</v>
      </c>
      <c r="D178" s="19">
        <v>101819</v>
      </c>
      <c r="E178" s="31" t="s">
        <v>745</v>
      </c>
      <c r="F178" s="14">
        <v>105</v>
      </c>
      <c r="G178" s="74">
        <v>100</v>
      </c>
      <c r="H178" s="54">
        <v>5</v>
      </c>
      <c r="I178" s="14"/>
      <c r="J178" s="18">
        <f t="shared" si="8"/>
        <v>105</v>
      </c>
      <c r="K178" s="32"/>
      <c r="L178" s="33">
        <f t="shared" si="7"/>
        <v>0</v>
      </c>
      <c r="M178" s="215"/>
    </row>
    <row r="179" spans="1:13" ht="15.75">
      <c r="A179" s="11">
        <f t="shared" si="9"/>
        <v>173</v>
      </c>
      <c r="B179" s="19" t="s">
        <v>746</v>
      </c>
      <c r="C179" s="19" t="s">
        <v>942</v>
      </c>
      <c r="D179" s="19">
        <v>101833</v>
      </c>
      <c r="E179" s="31" t="s">
        <v>747</v>
      </c>
      <c r="F179" s="14">
        <v>105</v>
      </c>
      <c r="G179" s="74">
        <v>100</v>
      </c>
      <c r="H179" s="54">
        <v>5</v>
      </c>
      <c r="I179" s="14"/>
      <c r="J179" s="18">
        <f t="shared" si="8"/>
        <v>105</v>
      </c>
      <c r="K179" s="32"/>
      <c r="L179" s="33">
        <f t="shared" si="7"/>
        <v>0</v>
      </c>
      <c r="M179" s="215"/>
    </row>
    <row r="180" spans="1:13" ht="15.75">
      <c r="A180" s="11">
        <f t="shared" si="9"/>
        <v>174</v>
      </c>
      <c r="B180" s="19" t="s">
        <v>748</v>
      </c>
      <c r="C180" s="19"/>
      <c r="D180" s="19"/>
      <c r="E180" s="118" t="s">
        <v>749</v>
      </c>
      <c r="F180" s="14">
        <v>52.5</v>
      </c>
      <c r="G180" s="74">
        <v>50</v>
      </c>
      <c r="H180" s="75">
        <v>2.5</v>
      </c>
      <c r="I180" s="14"/>
      <c r="J180" s="18">
        <f t="shared" si="8"/>
        <v>52.5</v>
      </c>
      <c r="K180" s="179"/>
      <c r="L180" s="33">
        <f t="shared" si="7"/>
        <v>0</v>
      </c>
      <c r="M180" s="217"/>
    </row>
    <row r="181" spans="1:13" ht="15.75">
      <c r="A181" s="11">
        <f t="shared" si="9"/>
        <v>175</v>
      </c>
      <c r="B181" s="19" t="s">
        <v>750</v>
      </c>
      <c r="C181" s="19"/>
      <c r="D181" s="19"/>
      <c r="E181" s="118" t="s">
        <v>751</v>
      </c>
      <c r="F181" s="14">
        <v>341.25</v>
      </c>
      <c r="G181" s="74">
        <v>325</v>
      </c>
      <c r="H181" s="75">
        <v>16.25</v>
      </c>
      <c r="I181" s="14"/>
      <c r="J181" s="18">
        <f t="shared" si="8"/>
        <v>341.25</v>
      </c>
      <c r="K181" s="32"/>
      <c r="L181" s="33">
        <f t="shared" si="7"/>
        <v>0</v>
      </c>
      <c r="M181" s="215"/>
    </row>
    <row r="182" spans="1:13" ht="15.75">
      <c r="A182" s="11">
        <f t="shared" si="9"/>
        <v>176</v>
      </c>
      <c r="B182" s="19" t="s">
        <v>3</v>
      </c>
      <c r="C182" s="19"/>
      <c r="D182" s="19"/>
      <c r="E182" s="118" t="s">
        <v>752</v>
      </c>
      <c r="F182" s="14">
        <v>446.25</v>
      </c>
      <c r="G182" s="74">
        <v>425</v>
      </c>
      <c r="H182" s="75">
        <v>21.25</v>
      </c>
      <c r="I182" s="14"/>
      <c r="J182" s="18">
        <f t="shared" si="8"/>
        <v>446.25</v>
      </c>
      <c r="K182" s="32"/>
      <c r="L182" s="36">
        <f t="shared" si="7"/>
        <v>0</v>
      </c>
      <c r="M182" s="215"/>
    </row>
    <row r="183" spans="1:13" ht="15.75">
      <c r="A183" s="11">
        <f t="shared" si="9"/>
        <v>177</v>
      </c>
      <c r="B183" s="19" t="s">
        <v>753</v>
      </c>
      <c r="C183" s="19"/>
      <c r="D183" s="19"/>
      <c r="E183" s="118" t="s">
        <v>754</v>
      </c>
      <c r="F183" s="14">
        <v>105</v>
      </c>
      <c r="G183" s="74">
        <v>100</v>
      </c>
      <c r="H183" s="75">
        <v>5</v>
      </c>
      <c r="I183" s="14"/>
      <c r="J183" s="18">
        <f t="shared" si="8"/>
        <v>105</v>
      </c>
      <c r="K183" s="32"/>
      <c r="L183" s="33">
        <f t="shared" si="7"/>
        <v>0</v>
      </c>
      <c r="M183" s="215"/>
    </row>
    <row r="184" spans="1:13" ht="15.75">
      <c r="A184" s="11">
        <f t="shared" si="9"/>
        <v>178</v>
      </c>
      <c r="B184" s="19" t="s">
        <v>755</v>
      </c>
      <c r="C184" s="19"/>
      <c r="D184" s="19"/>
      <c r="E184" s="118" t="s">
        <v>756</v>
      </c>
      <c r="F184" s="14">
        <v>105</v>
      </c>
      <c r="G184" s="74">
        <v>100</v>
      </c>
      <c r="H184" s="75">
        <v>5</v>
      </c>
      <c r="I184" s="14"/>
      <c r="J184" s="18">
        <f t="shared" si="8"/>
        <v>105</v>
      </c>
      <c r="K184" s="32"/>
      <c r="L184" s="33">
        <f t="shared" si="7"/>
        <v>0</v>
      </c>
      <c r="M184" s="215"/>
    </row>
    <row r="185" spans="1:13" ht="15.75">
      <c r="A185" s="11">
        <f t="shared" si="9"/>
        <v>179</v>
      </c>
      <c r="B185" s="19" t="s">
        <v>757</v>
      </c>
      <c r="C185" s="19"/>
      <c r="D185" s="19"/>
      <c r="E185" s="31" t="s">
        <v>758</v>
      </c>
      <c r="F185" s="14">
        <v>52.5</v>
      </c>
      <c r="G185" s="74">
        <v>50</v>
      </c>
      <c r="H185" s="54">
        <v>2.5</v>
      </c>
      <c r="I185" s="14"/>
      <c r="J185" s="18">
        <f t="shared" si="8"/>
        <v>52.5</v>
      </c>
      <c r="K185" s="32"/>
      <c r="L185" s="33">
        <f t="shared" si="7"/>
        <v>0</v>
      </c>
      <c r="M185" s="215"/>
    </row>
    <row r="186" spans="1:13" ht="15.75">
      <c r="A186" s="11">
        <f t="shared" si="9"/>
        <v>180</v>
      </c>
      <c r="B186" s="19" t="s">
        <v>759</v>
      </c>
      <c r="C186" s="19"/>
      <c r="D186" s="19"/>
      <c r="E186" s="31" t="s">
        <v>760</v>
      </c>
      <c r="F186" s="14">
        <v>52.5</v>
      </c>
      <c r="G186" s="74">
        <v>50</v>
      </c>
      <c r="H186" s="54">
        <v>2.5</v>
      </c>
      <c r="I186" s="14"/>
      <c r="J186" s="18">
        <f t="shared" si="8"/>
        <v>52.5</v>
      </c>
      <c r="K186" s="32"/>
      <c r="L186" s="33">
        <f t="shared" si="7"/>
        <v>0</v>
      </c>
      <c r="M186" s="215"/>
    </row>
    <row r="187" spans="1:13" ht="15.75">
      <c r="A187" s="11">
        <f t="shared" si="9"/>
        <v>181</v>
      </c>
      <c r="B187" s="19" t="s">
        <v>761</v>
      </c>
      <c r="C187" s="19"/>
      <c r="D187" s="19"/>
      <c r="E187" s="31" t="s">
        <v>762</v>
      </c>
      <c r="F187" s="14">
        <v>52.5</v>
      </c>
      <c r="G187" s="74">
        <v>50</v>
      </c>
      <c r="H187" s="54">
        <v>2.5</v>
      </c>
      <c r="I187" s="14"/>
      <c r="J187" s="18">
        <f t="shared" si="8"/>
        <v>52.5</v>
      </c>
      <c r="K187" s="32"/>
      <c r="L187" s="33">
        <f t="shared" si="7"/>
        <v>0</v>
      </c>
      <c r="M187" s="215"/>
    </row>
    <row r="188" spans="1:13" ht="15.75">
      <c r="A188" s="11">
        <f t="shared" si="9"/>
        <v>182</v>
      </c>
      <c r="B188" s="19" t="s">
        <v>396</v>
      </c>
      <c r="C188" s="19" t="s">
        <v>942</v>
      </c>
      <c r="D188" s="19">
        <v>101573</v>
      </c>
      <c r="E188" s="31" t="s">
        <v>397</v>
      </c>
      <c r="F188" s="14">
        <v>105</v>
      </c>
      <c r="G188" s="74">
        <v>100</v>
      </c>
      <c r="H188" s="21">
        <v>5</v>
      </c>
      <c r="I188" s="14"/>
      <c r="J188" s="18">
        <f t="shared" si="8"/>
        <v>105</v>
      </c>
      <c r="K188" s="32"/>
      <c r="L188" s="33">
        <f t="shared" si="7"/>
        <v>0</v>
      </c>
      <c r="M188" s="42"/>
    </row>
    <row r="189" spans="1:13" ht="15.75">
      <c r="A189" s="11">
        <f t="shared" si="9"/>
        <v>183</v>
      </c>
      <c r="B189" s="19" t="s">
        <v>763</v>
      </c>
      <c r="C189" s="19" t="s">
        <v>942</v>
      </c>
      <c r="D189" s="19">
        <v>101229</v>
      </c>
      <c r="E189" s="31" t="s">
        <v>764</v>
      </c>
      <c r="F189" s="14">
        <v>52.5</v>
      </c>
      <c r="G189" s="53">
        <v>50</v>
      </c>
      <c r="H189" s="54">
        <v>2.5</v>
      </c>
      <c r="I189" s="248"/>
      <c r="J189" s="18">
        <f t="shared" si="8"/>
        <v>52.5</v>
      </c>
      <c r="K189" s="32"/>
      <c r="L189" s="33">
        <f t="shared" ref="L189:L210" si="10">+(F189-((SUM(J189+K189))))</f>
        <v>0</v>
      </c>
      <c r="M189" s="215"/>
    </row>
    <row r="190" spans="1:13" ht="15.75">
      <c r="A190" s="11">
        <f t="shared" si="9"/>
        <v>184</v>
      </c>
      <c r="B190" s="19" t="s">
        <v>765</v>
      </c>
      <c r="C190" s="19" t="s">
        <v>942</v>
      </c>
      <c r="D190" s="19">
        <v>101286</v>
      </c>
      <c r="E190" s="31" t="s">
        <v>766</v>
      </c>
      <c r="F190" s="14">
        <v>52.5</v>
      </c>
      <c r="G190" s="53">
        <v>50</v>
      </c>
      <c r="H190" s="54">
        <v>2.5</v>
      </c>
      <c r="I190" s="248"/>
      <c r="J190" s="18">
        <f t="shared" si="8"/>
        <v>52.5</v>
      </c>
      <c r="K190" s="32"/>
      <c r="L190" s="33">
        <f t="shared" si="10"/>
        <v>0</v>
      </c>
      <c r="M190" s="215"/>
    </row>
    <row r="191" spans="1:13" ht="15.75">
      <c r="A191" s="11">
        <f t="shared" si="9"/>
        <v>185</v>
      </c>
      <c r="B191" s="116" t="s">
        <v>767</v>
      </c>
      <c r="C191" s="19" t="s">
        <v>942</v>
      </c>
      <c r="D191" s="19">
        <v>101858</v>
      </c>
      <c r="E191" s="31" t="s">
        <v>768</v>
      </c>
      <c r="F191" s="14">
        <v>52.5</v>
      </c>
      <c r="G191" s="74">
        <v>50</v>
      </c>
      <c r="H191" s="54">
        <v>2.5</v>
      </c>
      <c r="I191" s="14"/>
      <c r="J191" s="18">
        <f t="shared" si="8"/>
        <v>52.5</v>
      </c>
      <c r="K191" s="32"/>
      <c r="L191" s="33">
        <f t="shared" si="10"/>
        <v>0</v>
      </c>
      <c r="M191" s="215"/>
    </row>
    <row r="192" spans="1:13" ht="15.75">
      <c r="A192" s="11">
        <f t="shared" si="9"/>
        <v>186</v>
      </c>
      <c r="B192" s="19" t="s">
        <v>769</v>
      </c>
      <c r="C192" s="19" t="s">
        <v>942</v>
      </c>
      <c r="D192" s="19">
        <v>101060</v>
      </c>
      <c r="E192" s="31" t="s">
        <v>770</v>
      </c>
      <c r="F192" s="14">
        <v>52.5</v>
      </c>
      <c r="G192" s="74">
        <v>50</v>
      </c>
      <c r="H192" s="21">
        <v>2.5</v>
      </c>
      <c r="I192" s="14"/>
      <c r="J192" s="18">
        <f t="shared" si="8"/>
        <v>52.5</v>
      </c>
      <c r="K192" s="32"/>
      <c r="L192" s="33">
        <f t="shared" si="10"/>
        <v>0</v>
      </c>
      <c r="M192" s="215"/>
    </row>
    <row r="193" spans="1:13" ht="15.75">
      <c r="A193" s="11">
        <f t="shared" si="9"/>
        <v>187</v>
      </c>
      <c r="B193" s="19" t="s">
        <v>771</v>
      </c>
      <c r="C193" s="19" t="s">
        <v>942</v>
      </c>
      <c r="D193" s="19">
        <v>101702</v>
      </c>
      <c r="E193" s="118" t="s">
        <v>772</v>
      </c>
      <c r="F193" s="14">
        <v>52.5</v>
      </c>
      <c r="G193" s="74">
        <v>50</v>
      </c>
      <c r="H193" s="21">
        <v>2.5</v>
      </c>
      <c r="I193" s="14"/>
      <c r="J193" s="18">
        <f t="shared" si="8"/>
        <v>52.5</v>
      </c>
      <c r="K193" s="32"/>
      <c r="L193" s="33">
        <f t="shared" si="10"/>
        <v>0</v>
      </c>
      <c r="M193" s="215"/>
    </row>
    <row r="194" spans="1:13" ht="15.75">
      <c r="A194" s="11">
        <f t="shared" si="9"/>
        <v>188</v>
      </c>
      <c r="B194" s="19" t="s">
        <v>773</v>
      </c>
      <c r="C194" s="19" t="s">
        <v>942</v>
      </c>
      <c r="D194" s="19">
        <v>101092</v>
      </c>
      <c r="E194" s="118" t="s">
        <v>774</v>
      </c>
      <c r="F194" s="14">
        <v>52.5</v>
      </c>
      <c r="G194" s="74">
        <v>50</v>
      </c>
      <c r="H194" s="21">
        <v>2.5</v>
      </c>
      <c r="I194" s="14"/>
      <c r="J194" s="18">
        <f t="shared" si="8"/>
        <v>52.5</v>
      </c>
      <c r="K194" s="32"/>
      <c r="L194" s="33">
        <f t="shared" si="10"/>
        <v>0</v>
      </c>
      <c r="M194" s="215"/>
    </row>
    <row r="195" spans="1:13" ht="15.75">
      <c r="A195" s="11">
        <f t="shared" si="9"/>
        <v>189</v>
      </c>
      <c r="B195" s="19" t="s">
        <v>775</v>
      </c>
      <c r="C195" s="19" t="s">
        <v>942</v>
      </c>
      <c r="D195" s="262">
        <v>105278</v>
      </c>
      <c r="E195" s="31" t="s">
        <v>971</v>
      </c>
      <c r="F195" s="14">
        <v>52.5</v>
      </c>
      <c r="G195" s="20">
        <v>50</v>
      </c>
      <c r="H195" s="21">
        <v>2.5</v>
      </c>
      <c r="I195" s="14"/>
      <c r="J195" s="18">
        <f t="shared" si="8"/>
        <v>52.5</v>
      </c>
      <c r="K195" s="32"/>
      <c r="L195" s="33">
        <f t="shared" si="10"/>
        <v>0</v>
      </c>
      <c r="M195" s="215"/>
    </row>
    <row r="196" spans="1:13" ht="15.75">
      <c r="A196" s="11">
        <f t="shared" si="9"/>
        <v>190</v>
      </c>
      <c r="B196" s="19" t="s">
        <v>425</v>
      </c>
      <c r="C196" s="19" t="s">
        <v>942</v>
      </c>
      <c r="D196" s="19">
        <v>101904</v>
      </c>
      <c r="E196" s="31" t="s">
        <v>776</v>
      </c>
      <c r="F196" s="14">
        <v>52.5</v>
      </c>
      <c r="G196" s="74">
        <v>50</v>
      </c>
      <c r="H196" s="75">
        <v>2.5</v>
      </c>
      <c r="I196" s="14"/>
      <c r="J196" s="18">
        <f t="shared" si="8"/>
        <v>52.5</v>
      </c>
      <c r="K196" s="32"/>
      <c r="L196" s="33">
        <f t="shared" si="10"/>
        <v>0</v>
      </c>
      <c r="M196" s="215"/>
    </row>
    <row r="197" spans="1:13" ht="15.75">
      <c r="A197" s="11">
        <f t="shared" si="9"/>
        <v>191</v>
      </c>
      <c r="B197" s="19" t="s">
        <v>777</v>
      </c>
      <c r="C197" s="19" t="s">
        <v>942</v>
      </c>
      <c r="D197" s="19">
        <v>101627</v>
      </c>
      <c r="E197" s="31" t="s">
        <v>778</v>
      </c>
      <c r="F197" s="14">
        <v>52.5</v>
      </c>
      <c r="G197" s="20">
        <v>50</v>
      </c>
      <c r="H197" s="21">
        <v>2.5</v>
      </c>
      <c r="I197" s="248"/>
      <c r="J197" s="18">
        <f t="shared" si="8"/>
        <v>52.5</v>
      </c>
      <c r="K197" s="32"/>
      <c r="L197" s="33">
        <f t="shared" si="10"/>
        <v>0</v>
      </c>
      <c r="M197" s="215"/>
    </row>
    <row r="198" spans="1:13" ht="15.75">
      <c r="A198" s="11">
        <f t="shared" si="9"/>
        <v>192</v>
      </c>
      <c r="B198" s="19" t="s">
        <v>780</v>
      </c>
      <c r="C198" s="19" t="s">
        <v>942</v>
      </c>
      <c r="D198" s="19">
        <v>101083</v>
      </c>
      <c r="E198" s="118" t="s">
        <v>781</v>
      </c>
      <c r="F198" s="14">
        <v>52.5</v>
      </c>
      <c r="G198" s="74">
        <v>50</v>
      </c>
      <c r="H198" s="75">
        <v>2.5</v>
      </c>
      <c r="I198" s="14"/>
      <c r="J198" s="18">
        <f t="shared" si="8"/>
        <v>52.5</v>
      </c>
      <c r="K198" s="32"/>
      <c r="L198" s="33">
        <f t="shared" si="10"/>
        <v>0</v>
      </c>
      <c r="M198" s="215"/>
    </row>
    <row r="199" spans="1:13" ht="15.75">
      <c r="A199" s="11">
        <f t="shared" si="9"/>
        <v>193</v>
      </c>
      <c r="B199" s="19" t="s">
        <v>32</v>
      </c>
      <c r="C199" s="19" t="s">
        <v>942</v>
      </c>
      <c r="D199" s="19">
        <v>101068</v>
      </c>
      <c r="E199" s="125" t="s">
        <v>863</v>
      </c>
      <c r="F199" s="14">
        <v>52.5</v>
      </c>
      <c r="G199" s="20">
        <v>50</v>
      </c>
      <c r="H199" s="21">
        <v>2.5</v>
      </c>
      <c r="I199" s="14"/>
      <c r="J199" s="18">
        <f>SUM(G199+H199+I199)</f>
        <v>52.5</v>
      </c>
      <c r="K199" s="32"/>
      <c r="L199" s="33">
        <f>+(F199-((SUM(J199+K199))))</f>
        <v>0</v>
      </c>
      <c r="M199" s="215"/>
    </row>
    <row r="200" spans="1:13" ht="15.75">
      <c r="A200" s="11">
        <f t="shared" si="9"/>
        <v>194</v>
      </c>
      <c r="B200" s="19" t="s">
        <v>782</v>
      </c>
      <c r="C200" s="19" t="s">
        <v>942</v>
      </c>
      <c r="D200" s="19">
        <v>101639</v>
      </c>
      <c r="E200" s="118" t="s">
        <v>278</v>
      </c>
      <c r="F200" s="14">
        <v>105</v>
      </c>
      <c r="G200" s="74">
        <v>100</v>
      </c>
      <c r="H200" s="75">
        <v>5</v>
      </c>
      <c r="I200" s="14"/>
      <c r="J200" s="18">
        <f t="shared" ref="J200:J214" si="11">SUM(G200+H200+I200)</f>
        <v>105</v>
      </c>
      <c r="K200" s="32"/>
      <c r="L200" s="33">
        <f t="shared" si="10"/>
        <v>0</v>
      </c>
      <c r="M200" s="215"/>
    </row>
    <row r="201" spans="1:13" ht="15.75">
      <c r="A201" s="11">
        <f t="shared" ref="A201:A236" si="12">1+A200</f>
        <v>195</v>
      </c>
      <c r="B201" s="30" t="s">
        <v>783</v>
      </c>
      <c r="C201" s="19" t="s">
        <v>942</v>
      </c>
      <c r="D201" s="19">
        <v>101862</v>
      </c>
      <c r="E201" s="50" t="s">
        <v>784</v>
      </c>
      <c r="F201" s="14">
        <v>52.5</v>
      </c>
      <c r="G201" s="74">
        <v>50</v>
      </c>
      <c r="H201" s="75">
        <v>2.5</v>
      </c>
      <c r="I201" s="249"/>
      <c r="J201" s="18">
        <f t="shared" si="11"/>
        <v>52.5</v>
      </c>
      <c r="K201" s="35"/>
      <c r="L201" s="33">
        <f t="shared" si="10"/>
        <v>0</v>
      </c>
      <c r="M201" s="215"/>
    </row>
    <row r="202" spans="1:13" ht="15.75">
      <c r="A202" s="11">
        <f t="shared" si="12"/>
        <v>196</v>
      </c>
      <c r="B202" s="19" t="s">
        <v>14</v>
      </c>
      <c r="C202" s="19" t="s">
        <v>942</v>
      </c>
      <c r="D202" s="19">
        <v>101710</v>
      </c>
      <c r="E202" s="125" t="s">
        <v>787</v>
      </c>
      <c r="F202" s="14">
        <v>52.5</v>
      </c>
      <c r="G202" s="20">
        <v>50</v>
      </c>
      <c r="H202" s="21">
        <v>2.5</v>
      </c>
      <c r="I202" s="14"/>
      <c r="J202" s="18">
        <f t="shared" si="11"/>
        <v>52.5</v>
      </c>
      <c r="K202" s="32"/>
      <c r="L202" s="33">
        <f t="shared" si="10"/>
        <v>0</v>
      </c>
      <c r="M202" s="215"/>
    </row>
    <row r="203" spans="1:13" ht="15.75">
      <c r="A203" s="11">
        <f t="shared" si="12"/>
        <v>197</v>
      </c>
      <c r="B203" s="19" t="s">
        <v>904</v>
      </c>
      <c r="C203" s="19" t="s">
        <v>942</v>
      </c>
      <c r="D203" s="19">
        <v>101901</v>
      </c>
      <c r="E203" s="31" t="s">
        <v>972</v>
      </c>
      <c r="F203" s="14">
        <v>52.5</v>
      </c>
      <c r="G203" s="74">
        <v>50</v>
      </c>
      <c r="H203" s="54">
        <v>2.5</v>
      </c>
      <c r="I203" s="14"/>
      <c r="J203" s="18">
        <f t="shared" si="11"/>
        <v>52.5</v>
      </c>
      <c r="K203" s="32"/>
      <c r="L203" s="33">
        <f>+(F203-((SUM(J203+K203))))</f>
        <v>0</v>
      </c>
      <c r="M203" s="215"/>
    </row>
    <row r="204" spans="1:13" ht="15.75">
      <c r="A204" s="11">
        <f t="shared" si="12"/>
        <v>198</v>
      </c>
      <c r="B204" s="19" t="s">
        <v>788</v>
      </c>
      <c r="C204" s="19" t="s">
        <v>942</v>
      </c>
      <c r="D204" s="19">
        <v>101887</v>
      </c>
      <c r="E204" s="31" t="s">
        <v>789</v>
      </c>
      <c r="F204" s="14">
        <v>85.13</v>
      </c>
      <c r="G204" s="74">
        <v>50</v>
      </c>
      <c r="H204" s="54">
        <v>2.5</v>
      </c>
      <c r="I204" s="14"/>
      <c r="J204" s="18">
        <f t="shared" si="11"/>
        <v>52.5</v>
      </c>
      <c r="K204" s="32">
        <v>32.630000000000003</v>
      </c>
      <c r="L204" s="33">
        <f t="shared" si="10"/>
        <v>0</v>
      </c>
      <c r="M204" s="37" t="s">
        <v>947</v>
      </c>
    </row>
    <row r="205" spans="1:13" ht="15.75">
      <c r="A205" s="11">
        <f t="shared" si="12"/>
        <v>199</v>
      </c>
      <c r="B205" s="19" t="s">
        <v>20</v>
      </c>
      <c r="C205" s="19" t="s">
        <v>942</v>
      </c>
      <c r="D205" s="19">
        <v>101737</v>
      </c>
      <c r="E205" s="118" t="s">
        <v>790</v>
      </c>
      <c r="F205" s="14">
        <v>52.5</v>
      </c>
      <c r="G205" s="20">
        <v>50</v>
      </c>
      <c r="H205" s="21">
        <v>2.5</v>
      </c>
      <c r="I205" s="14"/>
      <c r="J205" s="18">
        <f t="shared" si="11"/>
        <v>52.5</v>
      </c>
      <c r="K205" s="32"/>
      <c r="L205" s="33">
        <f t="shared" si="10"/>
        <v>0</v>
      </c>
      <c r="M205" s="215"/>
    </row>
    <row r="206" spans="1:13" ht="15.75">
      <c r="A206" s="11">
        <f t="shared" si="12"/>
        <v>200</v>
      </c>
      <c r="B206" s="19" t="s">
        <v>929</v>
      </c>
      <c r="C206" s="19"/>
      <c r="D206" s="19">
        <v>105221</v>
      </c>
      <c r="E206" s="118" t="s">
        <v>973</v>
      </c>
      <c r="F206" s="14">
        <v>52.5</v>
      </c>
      <c r="G206" s="74">
        <v>50</v>
      </c>
      <c r="H206" s="75">
        <v>2.5</v>
      </c>
      <c r="I206" s="14"/>
      <c r="J206" s="18">
        <f>SUM(G206+H206+I206)</f>
        <v>52.5</v>
      </c>
      <c r="K206" s="32"/>
      <c r="L206" s="33">
        <f>+(F206-((SUM(J206+K206))))</f>
        <v>0</v>
      </c>
      <c r="M206" s="215"/>
    </row>
    <row r="207" spans="1:13" ht="15.75">
      <c r="A207" s="11">
        <f t="shared" si="12"/>
        <v>201</v>
      </c>
      <c r="B207" s="19" t="s">
        <v>791</v>
      </c>
      <c r="C207" s="19"/>
      <c r="D207" s="19"/>
      <c r="E207" s="31" t="s">
        <v>792</v>
      </c>
      <c r="F207" s="14">
        <v>446.25</v>
      </c>
      <c r="G207" s="20">
        <v>425</v>
      </c>
      <c r="H207" s="21">
        <v>21.25</v>
      </c>
      <c r="I207" s="14"/>
      <c r="J207" s="18">
        <f t="shared" si="11"/>
        <v>446.25</v>
      </c>
      <c r="K207" s="32"/>
      <c r="L207" s="33">
        <f t="shared" si="10"/>
        <v>0</v>
      </c>
      <c r="M207" s="215"/>
    </row>
    <row r="208" spans="1:13" ht="15.75">
      <c r="A208" s="11">
        <f t="shared" si="12"/>
        <v>202</v>
      </c>
      <c r="B208" s="55" t="s">
        <v>793</v>
      </c>
      <c r="C208" s="55"/>
      <c r="D208" s="55"/>
      <c r="E208" s="124" t="s">
        <v>794</v>
      </c>
      <c r="F208" s="147">
        <v>446.25</v>
      </c>
      <c r="G208" s="56">
        <v>425</v>
      </c>
      <c r="H208" s="57">
        <v>21.25</v>
      </c>
      <c r="I208" s="147"/>
      <c r="J208" s="18">
        <f t="shared" si="11"/>
        <v>446.25</v>
      </c>
      <c r="K208" s="41"/>
      <c r="L208" s="85">
        <f t="shared" si="10"/>
        <v>0</v>
      </c>
      <c r="M208" s="218"/>
    </row>
    <row r="209" spans="1:14" ht="15.75">
      <c r="A209" s="11">
        <f t="shared" si="12"/>
        <v>203</v>
      </c>
      <c r="B209" s="19" t="s">
        <v>974</v>
      </c>
      <c r="C209" s="19"/>
      <c r="D209" s="19">
        <v>105183</v>
      </c>
      <c r="E209" s="31" t="s">
        <v>975</v>
      </c>
      <c r="F209" s="14">
        <v>52.5</v>
      </c>
      <c r="G209" s="20">
        <v>50</v>
      </c>
      <c r="H209" s="21">
        <v>2.5</v>
      </c>
      <c r="I209" s="14"/>
      <c r="J209" s="18">
        <f t="shared" si="11"/>
        <v>52.5</v>
      </c>
      <c r="K209" s="32"/>
      <c r="L209" s="85">
        <f t="shared" si="10"/>
        <v>0</v>
      </c>
      <c r="M209" s="218"/>
    </row>
    <row r="210" spans="1:14" ht="15.75">
      <c r="A210" s="11">
        <f t="shared" si="12"/>
        <v>204</v>
      </c>
      <c r="B210" s="55" t="s">
        <v>976</v>
      </c>
      <c r="C210" s="55"/>
      <c r="D210" s="55">
        <v>105065</v>
      </c>
      <c r="E210" s="31" t="s">
        <v>977</v>
      </c>
      <c r="F210" s="147">
        <v>112.72</v>
      </c>
      <c r="G210" s="56">
        <v>100</v>
      </c>
      <c r="H210" s="21">
        <v>5</v>
      </c>
      <c r="I210" s="147">
        <v>7.72</v>
      </c>
      <c r="J210" s="18">
        <f t="shared" si="11"/>
        <v>112.72</v>
      </c>
      <c r="K210" s="41"/>
      <c r="L210" s="85">
        <f t="shared" si="10"/>
        <v>0</v>
      </c>
      <c r="M210" s="218"/>
    </row>
    <row r="211" spans="1:14" ht="15.75">
      <c r="A211" s="11">
        <f t="shared" si="12"/>
        <v>205</v>
      </c>
      <c r="B211" s="55" t="s">
        <v>978</v>
      </c>
      <c r="C211" s="19" t="s">
        <v>942</v>
      </c>
      <c r="D211" s="19">
        <v>105141</v>
      </c>
      <c r="E211" s="31" t="s">
        <v>979</v>
      </c>
      <c r="F211" s="14">
        <v>60.18</v>
      </c>
      <c r="G211" s="56">
        <v>50</v>
      </c>
      <c r="H211" s="21">
        <v>2.5</v>
      </c>
      <c r="I211" s="147"/>
      <c r="J211" s="18">
        <f t="shared" si="11"/>
        <v>52.5</v>
      </c>
      <c r="K211" s="41">
        <v>7.68</v>
      </c>
      <c r="L211" s="85">
        <f>+(F211-((SUM(J211+K211))))</f>
        <v>0</v>
      </c>
      <c r="M211" s="37" t="s">
        <v>980</v>
      </c>
    </row>
    <row r="212" spans="1:14" ht="15.75">
      <c r="A212" s="11">
        <f t="shared" si="12"/>
        <v>206</v>
      </c>
      <c r="B212" s="19" t="s">
        <v>981</v>
      </c>
      <c r="C212" s="19" t="s">
        <v>942</v>
      </c>
      <c r="D212" s="19">
        <v>105175</v>
      </c>
      <c r="E212" s="31" t="s">
        <v>982</v>
      </c>
      <c r="F212" s="14">
        <v>105</v>
      </c>
      <c r="G212" s="20">
        <v>100</v>
      </c>
      <c r="H212" s="21">
        <v>5</v>
      </c>
      <c r="I212" s="14"/>
      <c r="J212" s="18">
        <f t="shared" si="11"/>
        <v>105</v>
      </c>
      <c r="K212" s="41"/>
      <c r="L212" s="85">
        <f t="shared" ref="L212:L213" si="13">+(F212-((SUM(J212+K212))))</f>
        <v>0</v>
      </c>
      <c r="M212" s="218"/>
    </row>
    <row r="213" spans="1:14" ht="15.75">
      <c r="A213" s="11">
        <f t="shared" si="12"/>
        <v>207</v>
      </c>
      <c r="B213" s="19" t="s">
        <v>983</v>
      </c>
      <c r="C213" s="19"/>
      <c r="D213" s="19">
        <v>105182</v>
      </c>
      <c r="E213" s="31" t="s">
        <v>984</v>
      </c>
      <c r="F213" s="14">
        <v>52.5</v>
      </c>
      <c r="G213" s="20">
        <v>50</v>
      </c>
      <c r="H213" s="21">
        <v>2.5</v>
      </c>
      <c r="I213" s="14"/>
      <c r="J213" s="18">
        <f t="shared" si="11"/>
        <v>52.5</v>
      </c>
      <c r="K213" s="32"/>
      <c r="L213" s="33">
        <f t="shared" si="13"/>
        <v>0</v>
      </c>
      <c r="M213" s="37"/>
    </row>
    <row r="214" spans="1:14" ht="15.75">
      <c r="A214" s="11">
        <f t="shared" si="12"/>
        <v>208</v>
      </c>
      <c r="B214" s="19" t="s">
        <v>574</v>
      </c>
      <c r="C214" s="19"/>
      <c r="D214" s="19"/>
      <c r="E214" s="31" t="s">
        <v>985</v>
      </c>
      <c r="F214" s="14">
        <v>68.489999999999995</v>
      </c>
      <c r="G214" s="53">
        <v>50</v>
      </c>
      <c r="H214" s="54">
        <v>2.5</v>
      </c>
      <c r="I214" s="14">
        <v>15.99</v>
      </c>
      <c r="J214" s="18">
        <f t="shared" si="11"/>
        <v>68.489999999999995</v>
      </c>
      <c r="K214" s="32"/>
      <c r="L214" s="33">
        <f>+(F214-((SUM(J214+K214))))</f>
        <v>0</v>
      </c>
      <c r="M214" s="215"/>
      <c r="N214" s="6"/>
    </row>
    <row r="215" spans="1:14" ht="15.75">
      <c r="A215" s="11">
        <f t="shared" si="12"/>
        <v>209</v>
      </c>
      <c r="B215" s="19" t="s">
        <v>693</v>
      </c>
      <c r="C215" s="19" t="s">
        <v>942</v>
      </c>
      <c r="D215" s="19">
        <v>105269</v>
      </c>
      <c r="E215" s="118" t="s">
        <v>986</v>
      </c>
      <c r="F215" s="14">
        <v>116.12</v>
      </c>
      <c r="G215" s="74">
        <v>100</v>
      </c>
      <c r="H215" s="75">
        <v>5</v>
      </c>
      <c r="I215" s="14">
        <v>11.12</v>
      </c>
      <c r="J215" s="18">
        <f>SUM(G215+H215+I215)</f>
        <v>116.12</v>
      </c>
      <c r="K215" s="32"/>
      <c r="L215" s="33">
        <f>+(F215-((SUM(J215+K215))))</f>
        <v>0</v>
      </c>
      <c r="M215" s="215"/>
      <c r="N215" s="40"/>
    </row>
    <row r="216" spans="1:14" ht="15.75">
      <c r="A216" s="11">
        <f t="shared" si="12"/>
        <v>210</v>
      </c>
      <c r="B216" s="19" t="s">
        <v>987</v>
      </c>
      <c r="C216" s="19" t="s">
        <v>942</v>
      </c>
      <c r="D216" s="19">
        <v>105267</v>
      </c>
      <c r="E216" s="31" t="s">
        <v>988</v>
      </c>
      <c r="F216" s="14">
        <v>203.88</v>
      </c>
      <c r="G216" s="20">
        <v>100</v>
      </c>
      <c r="H216" s="21">
        <v>2.5</v>
      </c>
      <c r="I216" s="14">
        <v>101.38</v>
      </c>
      <c r="J216" s="18">
        <f>SUM(G216+H216+I216)</f>
        <v>203.88</v>
      </c>
      <c r="K216" s="32"/>
      <c r="L216" s="85">
        <f>+(F216-((SUM(J216+K216))))</f>
        <v>0</v>
      </c>
      <c r="M216" s="37"/>
      <c r="N216" s="6"/>
    </row>
    <row r="217" spans="1:14" ht="15.75">
      <c r="A217" s="11">
        <f t="shared" si="12"/>
        <v>211</v>
      </c>
      <c r="B217" s="22" t="s">
        <v>779</v>
      </c>
      <c r="C217" s="19" t="s">
        <v>942</v>
      </c>
      <c r="D217" s="19">
        <v>101562</v>
      </c>
      <c r="E217" s="50" t="s">
        <v>989</v>
      </c>
      <c r="F217" s="14">
        <v>57.62</v>
      </c>
      <c r="G217" s="74">
        <v>50</v>
      </c>
      <c r="H217" s="75">
        <v>2.5</v>
      </c>
      <c r="I217" s="249"/>
      <c r="J217" s="18">
        <f>SUM(G217+H217+I217)</f>
        <v>52.5</v>
      </c>
      <c r="K217" s="35">
        <v>5.12</v>
      </c>
      <c r="L217" s="36">
        <f>+(F217-((SUM(J217+K217))))</f>
        <v>0</v>
      </c>
      <c r="M217" s="215" t="s">
        <v>990</v>
      </c>
      <c r="N217" s="6"/>
    </row>
    <row r="218" spans="1:14" ht="15.75">
      <c r="A218" s="11">
        <f t="shared" si="12"/>
        <v>212</v>
      </c>
      <c r="B218" s="55" t="s">
        <v>991</v>
      </c>
      <c r="C218" s="19" t="s">
        <v>942</v>
      </c>
      <c r="D218" s="19">
        <v>105309</v>
      </c>
      <c r="E218" s="31" t="s">
        <v>992</v>
      </c>
      <c r="F218" s="14">
        <v>57.29</v>
      </c>
      <c r="G218" s="74">
        <v>50</v>
      </c>
      <c r="H218" s="75">
        <v>2.5</v>
      </c>
      <c r="I218" s="249">
        <v>4.79</v>
      </c>
      <c r="J218" s="18">
        <f t="shared" ref="J218:J225" si="14">SUM(G218+H218+I218)</f>
        <v>57.29</v>
      </c>
      <c r="K218" s="35"/>
      <c r="L218" s="36">
        <f t="shared" ref="L218:L225" si="15">+(F218-((SUM(J218+K218))))</f>
        <v>0</v>
      </c>
      <c r="M218" s="215"/>
      <c r="N218" s="40"/>
    </row>
    <row r="219" spans="1:14" ht="15.75">
      <c r="A219" s="11">
        <f t="shared" si="12"/>
        <v>213</v>
      </c>
      <c r="B219" s="280" t="s">
        <v>993</v>
      </c>
      <c r="C219" s="12" t="s">
        <v>942</v>
      </c>
      <c r="D219" s="19">
        <v>105298</v>
      </c>
      <c r="E219" s="24" t="s">
        <v>994</v>
      </c>
      <c r="F219" s="14">
        <v>52.5</v>
      </c>
      <c r="G219" s="74">
        <v>50</v>
      </c>
      <c r="H219" s="75">
        <v>2.5</v>
      </c>
      <c r="I219" s="249"/>
      <c r="J219" s="18">
        <f t="shared" si="14"/>
        <v>52.5</v>
      </c>
      <c r="K219" s="35"/>
      <c r="L219" s="36">
        <f t="shared" si="15"/>
        <v>0</v>
      </c>
      <c r="M219" s="215"/>
      <c r="N219" s="40"/>
    </row>
    <row r="220" spans="1:14" ht="15.75">
      <c r="A220" s="11">
        <f t="shared" si="12"/>
        <v>214</v>
      </c>
      <c r="B220" s="280" t="s">
        <v>995</v>
      </c>
      <c r="C220" s="12" t="s">
        <v>942</v>
      </c>
      <c r="D220" s="19">
        <v>105320</v>
      </c>
      <c r="E220" s="24" t="s">
        <v>996</v>
      </c>
      <c r="F220" s="14">
        <v>52.5</v>
      </c>
      <c r="G220" s="74">
        <v>50</v>
      </c>
      <c r="H220" s="75">
        <v>2.5</v>
      </c>
      <c r="I220" s="249"/>
      <c r="J220" s="18">
        <f t="shared" si="14"/>
        <v>52.5</v>
      </c>
      <c r="K220" s="35"/>
      <c r="L220" s="36">
        <f t="shared" si="15"/>
        <v>0</v>
      </c>
      <c r="M220" s="215"/>
      <c r="N220" s="58"/>
    </row>
    <row r="221" spans="1:14" ht="15.75">
      <c r="A221" s="11">
        <f t="shared" si="12"/>
        <v>215</v>
      </c>
      <c r="B221" s="280" t="s">
        <v>997</v>
      </c>
      <c r="C221" s="12"/>
      <c r="D221" s="19">
        <v>105342</v>
      </c>
      <c r="E221" s="24" t="s">
        <v>998</v>
      </c>
      <c r="F221" s="14">
        <v>52.5</v>
      </c>
      <c r="G221" s="74">
        <v>50</v>
      </c>
      <c r="H221" s="75">
        <v>2.5</v>
      </c>
      <c r="I221" s="249"/>
      <c r="J221" s="18">
        <f t="shared" si="14"/>
        <v>52.5</v>
      </c>
      <c r="K221" s="35"/>
      <c r="L221" s="36">
        <f t="shared" si="15"/>
        <v>0</v>
      </c>
      <c r="M221" s="215"/>
      <c r="N221" s="59" t="s">
        <v>525</v>
      </c>
    </row>
    <row r="222" spans="1:14" ht="15.75">
      <c r="A222" s="11">
        <f t="shared" si="12"/>
        <v>216</v>
      </c>
      <c r="B222" s="280" t="s">
        <v>999</v>
      </c>
      <c r="C222" s="12" t="s">
        <v>942</v>
      </c>
      <c r="D222" s="19">
        <v>101908</v>
      </c>
      <c r="E222" s="24" t="s">
        <v>1000</v>
      </c>
      <c r="F222" s="14">
        <v>52.5</v>
      </c>
      <c r="G222" s="74">
        <v>50</v>
      </c>
      <c r="H222" s="75">
        <v>2.5</v>
      </c>
      <c r="I222" s="249"/>
      <c r="J222" s="18">
        <f t="shared" si="14"/>
        <v>52.5</v>
      </c>
      <c r="K222" s="35"/>
      <c r="L222" s="36">
        <f t="shared" si="15"/>
        <v>0</v>
      </c>
      <c r="M222" s="215"/>
      <c r="N222" s="60" t="s">
        <v>79</v>
      </c>
    </row>
    <row r="223" spans="1:14" ht="15.75">
      <c r="A223" s="11">
        <f t="shared" si="12"/>
        <v>217</v>
      </c>
      <c r="B223" s="280" t="s">
        <v>1001</v>
      </c>
      <c r="C223" s="12" t="s">
        <v>942</v>
      </c>
      <c r="D223" s="19">
        <v>105266</v>
      </c>
      <c r="E223" s="24" t="s">
        <v>1002</v>
      </c>
      <c r="F223" s="14">
        <v>105</v>
      </c>
      <c r="G223" s="74">
        <v>100</v>
      </c>
      <c r="H223" s="75">
        <v>5</v>
      </c>
      <c r="I223" s="249"/>
      <c r="J223" s="18">
        <f>SUM(G223+H223+I223)</f>
        <v>105</v>
      </c>
      <c r="K223" s="35"/>
      <c r="L223" s="36">
        <f>+(F223-((SUM(J223+K223))))</f>
        <v>0</v>
      </c>
      <c r="M223" s="215"/>
      <c r="N223" s="40"/>
    </row>
    <row r="224" spans="1:14" ht="15.75">
      <c r="A224" s="11">
        <f t="shared" si="12"/>
        <v>218</v>
      </c>
      <c r="B224" s="333" t="s">
        <v>1003</v>
      </c>
      <c r="C224" s="19"/>
      <c r="D224" s="19">
        <v>105341</v>
      </c>
      <c r="E224" s="351" t="s">
        <v>1004</v>
      </c>
      <c r="F224" s="147">
        <v>107.4</v>
      </c>
      <c r="G224" s="278">
        <v>100</v>
      </c>
      <c r="H224" s="279">
        <v>5</v>
      </c>
      <c r="I224" s="249">
        <v>2.4</v>
      </c>
      <c r="J224" s="18">
        <f t="shared" si="14"/>
        <v>107.4</v>
      </c>
      <c r="K224" s="35"/>
      <c r="L224" s="36">
        <f t="shared" si="15"/>
        <v>0</v>
      </c>
      <c r="M224" s="215"/>
      <c r="N224" s="40"/>
    </row>
    <row r="225" spans="1:14" ht="15.75">
      <c r="A225" s="11">
        <f t="shared" si="12"/>
        <v>219</v>
      </c>
      <c r="B225" s="333" t="s">
        <v>1005</v>
      </c>
      <c r="C225" s="19" t="s">
        <v>942</v>
      </c>
      <c r="D225" s="19">
        <v>105313</v>
      </c>
      <c r="E225" s="283" t="s">
        <v>1006</v>
      </c>
      <c r="F225" s="281">
        <v>191.09</v>
      </c>
      <c r="G225" s="274">
        <v>100</v>
      </c>
      <c r="H225" s="275">
        <v>5</v>
      </c>
      <c r="I225" s="277">
        <v>86.09</v>
      </c>
      <c r="J225" s="18">
        <f t="shared" si="14"/>
        <v>191.09</v>
      </c>
      <c r="K225" s="35"/>
      <c r="L225" s="36">
        <f t="shared" si="15"/>
        <v>0</v>
      </c>
      <c r="M225" s="215"/>
      <c r="N225" s="40"/>
    </row>
    <row r="226" spans="1:14" ht="15.75">
      <c r="A226" s="11">
        <f t="shared" si="12"/>
        <v>220</v>
      </c>
      <c r="B226" s="333" t="s">
        <v>1007</v>
      </c>
      <c r="C226" s="19"/>
      <c r="D226" s="19"/>
      <c r="E226" s="283" t="s">
        <v>1008</v>
      </c>
      <c r="F226" s="281">
        <v>52.5</v>
      </c>
      <c r="G226" s="274">
        <v>50</v>
      </c>
      <c r="H226" s="275">
        <v>2.5</v>
      </c>
      <c r="I226" s="277"/>
      <c r="J226" s="18">
        <f t="shared" ref="J226:J236" si="16">SUM(G226+H226+I226)</f>
        <v>52.5</v>
      </c>
      <c r="K226" s="35"/>
      <c r="L226" s="36">
        <f t="shared" ref="L226:L236" si="17">+(F226-((SUM(J226+K226))))</f>
        <v>0</v>
      </c>
      <c r="M226" s="215"/>
      <c r="N226" s="40"/>
    </row>
    <row r="227" spans="1:14" ht="15.75">
      <c r="A227" s="11">
        <f t="shared" si="12"/>
        <v>221</v>
      </c>
      <c r="B227" s="333" t="s">
        <v>1009</v>
      </c>
      <c r="C227" s="19"/>
      <c r="D227" s="19"/>
      <c r="E227" s="283" t="s">
        <v>1010</v>
      </c>
      <c r="F227" s="281">
        <v>105</v>
      </c>
      <c r="G227" s="274">
        <v>100</v>
      </c>
      <c r="H227" s="275">
        <v>5</v>
      </c>
      <c r="I227" s="277"/>
      <c r="J227" s="18">
        <f t="shared" si="16"/>
        <v>105</v>
      </c>
      <c r="K227" s="35"/>
      <c r="L227" s="36">
        <f t="shared" si="17"/>
        <v>0</v>
      </c>
      <c r="M227" s="215"/>
      <c r="N227" s="195"/>
    </row>
    <row r="228" spans="1:14" ht="15.75">
      <c r="A228" s="11">
        <f t="shared" si="12"/>
        <v>222</v>
      </c>
      <c r="B228" s="333" t="s">
        <v>1011</v>
      </c>
      <c r="C228" s="19"/>
      <c r="D228" s="19"/>
      <c r="E228" s="283" t="s">
        <v>1012</v>
      </c>
      <c r="F228" s="281">
        <v>105</v>
      </c>
      <c r="G228" s="274">
        <v>100</v>
      </c>
      <c r="H228" s="275">
        <v>5</v>
      </c>
      <c r="I228" s="277"/>
      <c r="J228" s="18">
        <f t="shared" si="16"/>
        <v>105</v>
      </c>
      <c r="K228" s="35"/>
      <c r="L228" s="36">
        <f t="shared" si="17"/>
        <v>0</v>
      </c>
      <c r="M228" s="215"/>
      <c r="N228" s="194"/>
    </row>
    <row r="229" spans="1:14" ht="15.75">
      <c r="A229" s="11">
        <f t="shared" si="12"/>
        <v>223</v>
      </c>
      <c r="B229" s="333" t="s">
        <v>1013</v>
      </c>
      <c r="C229" s="19"/>
      <c r="D229" s="19"/>
      <c r="E229" s="283" t="s">
        <v>1014</v>
      </c>
      <c r="F229" s="281">
        <v>105</v>
      </c>
      <c r="G229" s="274">
        <v>100</v>
      </c>
      <c r="H229" s="275">
        <v>5</v>
      </c>
      <c r="I229" s="277"/>
      <c r="J229" s="18">
        <f t="shared" si="16"/>
        <v>105</v>
      </c>
      <c r="K229" s="35"/>
      <c r="L229" s="36">
        <f t="shared" si="17"/>
        <v>0</v>
      </c>
      <c r="M229" s="215"/>
      <c r="N229" s="6" t="s">
        <v>539</v>
      </c>
    </row>
    <row r="230" spans="1:14" ht="15.75">
      <c r="A230" s="11">
        <f t="shared" si="12"/>
        <v>224</v>
      </c>
      <c r="B230" s="333" t="s">
        <v>1015</v>
      </c>
      <c r="C230" s="19"/>
      <c r="D230" s="19"/>
      <c r="E230" s="283" t="s">
        <v>1016</v>
      </c>
      <c r="F230" s="281">
        <v>105</v>
      </c>
      <c r="G230" s="274">
        <v>100</v>
      </c>
      <c r="H230" s="275">
        <v>5</v>
      </c>
      <c r="I230" s="277"/>
      <c r="J230" s="18">
        <f t="shared" si="16"/>
        <v>105</v>
      </c>
      <c r="K230" s="35"/>
      <c r="L230" s="36">
        <f t="shared" si="17"/>
        <v>0</v>
      </c>
      <c r="M230" s="215"/>
      <c r="N230" s="6" t="s">
        <v>542</v>
      </c>
    </row>
    <row r="231" spans="1:14" ht="15.75">
      <c r="A231" s="11">
        <f t="shared" si="12"/>
        <v>225</v>
      </c>
      <c r="B231" s="333" t="s">
        <v>1017</v>
      </c>
      <c r="C231" s="19"/>
      <c r="D231" s="19"/>
      <c r="E231" s="283" t="s">
        <v>1018</v>
      </c>
      <c r="F231" s="281">
        <v>105</v>
      </c>
      <c r="G231" s="274">
        <v>100</v>
      </c>
      <c r="H231" s="275">
        <v>5</v>
      </c>
      <c r="I231" s="277"/>
      <c r="J231" s="18">
        <f t="shared" si="16"/>
        <v>105</v>
      </c>
      <c r="K231" s="35"/>
      <c r="L231" s="36">
        <f t="shared" si="17"/>
        <v>0</v>
      </c>
      <c r="M231" s="215"/>
      <c r="N231" s="40"/>
    </row>
    <row r="232" spans="1:14" ht="15.75">
      <c r="A232" s="11">
        <f t="shared" si="12"/>
        <v>226</v>
      </c>
      <c r="B232" s="333" t="s">
        <v>1019</v>
      </c>
      <c r="C232" s="19"/>
      <c r="D232" s="19">
        <v>105362</v>
      </c>
      <c r="E232" s="283" t="s">
        <v>1020</v>
      </c>
      <c r="F232" s="281">
        <v>52.84</v>
      </c>
      <c r="G232" s="274">
        <v>50</v>
      </c>
      <c r="H232" s="275">
        <v>2.5</v>
      </c>
      <c r="I232" s="277">
        <v>0.34</v>
      </c>
      <c r="J232" s="18">
        <f t="shared" si="16"/>
        <v>52.84</v>
      </c>
      <c r="K232" s="35"/>
      <c r="L232" s="36">
        <f t="shared" si="17"/>
        <v>0</v>
      </c>
      <c r="M232" s="215"/>
      <c r="N232" s="40"/>
    </row>
    <row r="233" spans="1:14" ht="15.75">
      <c r="A233" s="11">
        <f t="shared" si="12"/>
        <v>227</v>
      </c>
      <c r="B233" s="333" t="s">
        <v>1021</v>
      </c>
      <c r="C233" s="19"/>
      <c r="D233" s="19"/>
      <c r="E233" s="283" t="s">
        <v>1022</v>
      </c>
      <c r="F233" s="281">
        <v>52.5</v>
      </c>
      <c r="G233" s="274">
        <v>50</v>
      </c>
      <c r="H233" s="275">
        <v>2.5</v>
      </c>
      <c r="I233" s="277"/>
      <c r="J233" s="18">
        <f t="shared" si="16"/>
        <v>52.5</v>
      </c>
      <c r="K233" s="35"/>
      <c r="L233" s="36">
        <f t="shared" si="17"/>
        <v>0</v>
      </c>
      <c r="M233" s="215"/>
      <c r="N233" s="40"/>
    </row>
    <row r="234" spans="1:14" ht="15.75">
      <c r="A234" s="11">
        <f t="shared" si="12"/>
        <v>228</v>
      </c>
      <c r="B234" s="333" t="s">
        <v>1023</v>
      </c>
      <c r="C234" s="19"/>
      <c r="D234" s="19">
        <v>101041</v>
      </c>
      <c r="E234" s="283" t="s">
        <v>1024</v>
      </c>
      <c r="F234" s="281">
        <v>52.5</v>
      </c>
      <c r="G234" s="274">
        <v>50</v>
      </c>
      <c r="H234" s="275">
        <v>2.5</v>
      </c>
      <c r="I234" s="277"/>
      <c r="J234" s="18">
        <f t="shared" si="16"/>
        <v>52.5</v>
      </c>
      <c r="K234" s="35"/>
      <c r="L234" s="36">
        <f t="shared" si="17"/>
        <v>0</v>
      </c>
      <c r="M234" s="215"/>
      <c r="N234" s="40"/>
    </row>
    <row r="235" spans="1:14" ht="15.75">
      <c r="A235" s="11">
        <f t="shared" si="12"/>
        <v>229</v>
      </c>
      <c r="B235" s="333" t="s">
        <v>1025</v>
      </c>
      <c r="C235" s="19"/>
      <c r="D235" s="19">
        <v>101681</v>
      </c>
      <c r="E235" s="283" t="s">
        <v>1026</v>
      </c>
      <c r="F235" s="281">
        <v>52.5</v>
      </c>
      <c r="G235" s="274">
        <v>50</v>
      </c>
      <c r="H235" s="275">
        <v>2.5</v>
      </c>
      <c r="I235" s="277"/>
      <c r="J235" s="18">
        <f t="shared" si="16"/>
        <v>52.5</v>
      </c>
      <c r="K235" s="35"/>
      <c r="L235" s="36">
        <f t="shared" si="17"/>
        <v>0</v>
      </c>
      <c r="M235" s="215"/>
      <c r="N235" s="195"/>
    </row>
    <row r="236" spans="1:14" ht="16.5" thickBot="1">
      <c r="A236" s="11">
        <f t="shared" si="12"/>
        <v>230</v>
      </c>
      <c r="B236" s="267" t="s">
        <v>1027</v>
      </c>
      <c r="C236" s="276"/>
      <c r="D236" s="352">
        <v>105501</v>
      </c>
      <c r="E236" s="284" t="s">
        <v>1028</v>
      </c>
      <c r="F236" s="268">
        <v>52.5</v>
      </c>
      <c r="G236" s="269">
        <v>50</v>
      </c>
      <c r="H236" s="270">
        <v>2.5</v>
      </c>
      <c r="I236" s="249"/>
      <c r="J236" s="18">
        <f t="shared" si="16"/>
        <v>52.5</v>
      </c>
      <c r="K236" s="35"/>
      <c r="L236" s="36">
        <f t="shared" si="17"/>
        <v>0</v>
      </c>
      <c r="M236" s="271"/>
      <c r="N236" s="194"/>
    </row>
    <row r="237" spans="1:14" ht="16.5" thickBot="1">
      <c r="A237" s="64"/>
      <c r="B237" s="64"/>
      <c r="C237" s="64"/>
      <c r="D237" s="282"/>
      <c r="E237" s="180" t="s">
        <v>795</v>
      </c>
      <c r="F237" s="253">
        <f>SUM(F7:F236)</f>
        <v>31892.98000000001</v>
      </c>
      <c r="G237" s="253">
        <f>SUM(G7:G236)</f>
        <v>24553.57</v>
      </c>
      <c r="H237" s="253">
        <f t="shared" ref="H237:I237" si="18">SUM(H7:H236)</f>
        <v>1229.31</v>
      </c>
      <c r="I237" s="253">
        <f t="shared" si="18"/>
        <v>5547.38</v>
      </c>
      <c r="J237" s="253">
        <f t="shared" ref="J237:L237" si="19">SUM(J7:J236)</f>
        <v>31330.260000000009</v>
      </c>
      <c r="K237" s="253">
        <f t="shared" si="19"/>
        <v>562.71999999999991</v>
      </c>
      <c r="L237" s="253">
        <f t="shared" si="19"/>
        <v>-1.5631940186722204E-13</v>
      </c>
      <c r="M237" s="219"/>
      <c r="N237" s="6" t="s">
        <v>557</v>
      </c>
    </row>
    <row r="238" spans="1:14" ht="16.5" thickBot="1">
      <c r="A238" s="66"/>
      <c r="B238" s="67"/>
      <c r="C238" s="198"/>
      <c r="D238" s="198"/>
      <c r="E238" s="126"/>
      <c r="F238" s="254"/>
      <c r="G238" s="68"/>
      <c r="H238" s="68"/>
      <c r="I238" s="254"/>
      <c r="J238" s="68"/>
      <c r="K238" s="68"/>
      <c r="L238" s="68"/>
      <c r="M238" s="220"/>
      <c r="N238" s="6" t="s">
        <v>559</v>
      </c>
    </row>
    <row r="239" spans="1:14" ht="16.5" thickBot="1">
      <c r="A239" s="150"/>
      <c r="B239" s="151" t="s">
        <v>796</v>
      </c>
      <c r="C239" s="151"/>
      <c r="D239" s="151"/>
      <c r="E239" s="152"/>
      <c r="F239" s="255"/>
      <c r="G239" s="239"/>
      <c r="H239" s="239"/>
      <c r="I239" s="255"/>
      <c r="J239" s="239"/>
      <c r="K239" s="239"/>
      <c r="L239" s="239"/>
      <c r="M239" s="240"/>
      <c r="N239" s="6"/>
    </row>
    <row r="240" spans="1:14" ht="15.75">
      <c r="A240" s="136">
        <v>1</v>
      </c>
      <c r="B240" s="19" t="s">
        <v>797</v>
      </c>
      <c r="C240" s="19" t="s">
        <v>1029</v>
      </c>
      <c r="D240" s="19">
        <v>101243</v>
      </c>
      <c r="E240" s="122" t="s">
        <v>294</v>
      </c>
      <c r="F240" s="14">
        <v>691.25</v>
      </c>
      <c r="G240" s="53">
        <v>325</v>
      </c>
      <c r="H240" s="54">
        <v>16.25</v>
      </c>
      <c r="I240" s="248">
        <v>350</v>
      </c>
      <c r="J240" s="18">
        <f>SUM(G240:I240)</f>
        <v>691.25</v>
      </c>
      <c r="K240" s="77"/>
      <c r="L240" s="33">
        <f t="shared" ref="L240:L285" si="20">+(F240-((SUM(J240+K240))))</f>
        <v>0</v>
      </c>
      <c r="M240" s="215"/>
    </row>
    <row r="241" spans="1:14" ht="15.75">
      <c r="A241" s="136">
        <f>1+A240</f>
        <v>2</v>
      </c>
      <c r="B241" s="19" t="s">
        <v>798</v>
      </c>
      <c r="C241" s="19" t="s">
        <v>1029</v>
      </c>
      <c r="D241" s="19">
        <v>101013</v>
      </c>
      <c r="E241" s="122" t="s">
        <v>297</v>
      </c>
      <c r="F241" s="14">
        <v>310.75</v>
      </c>
      <c r="G241" s="53">
        <v>200</v>
      </c>
      <c r="H241" s="54">
        <v>10</v>
      </c>
      <c r="I241" s="248">
        <v>100.75</v>
      </c>
      <c r="J241" s="18">
        <f>SUM(G241:I241)</f>
        <v>310.75</v>
      </c>
      <c r="K241" s="77"/>
      <c r="L241" s="33">
        <f t="shared" si="20"/>
        <v>0</v>
      </c>
      <c r="M241" s="215"/>
    </row>
    <row r="242" spans="1:14" ht="15.75">
      <c r="A242" s="136">
        <f t="shared" ref="A242:A291" si="21">1+A241</f>
        <v>3</v>
      </c>
      <c r="B242" s="116" t="s">
        <v>799</v>
      </c>
      <c r="C242" s="19" t="s">
        <v>1029</v>
      </c>
      <c r="D242" s="19">
        <v>101879</v>
      </c>
      <c r="E242" s="31" t="s">
        <v>800</v>
      </c>
      <c r="F242" s="14">
        <v>52.5</v>
      </c>
      <c r="G242" s="74">
        <v>50</v>
      </c>
      <c r="H242" s="54">
        <v>2.5</v>
      </c>
      <c r="I242" s="14"/>
      <c r="J242" s="18">
        <f t="shared" ref="J242:J247" si="22">SUM(G242:I242)</f>
        <v>52.5</v>
      </c>
      <c r="K242" s="32"/>
      <c r="L242" s="33">
        <f t="shared" si="20"/>
        <v>0</v>
      </c>
      <c r="M242" s="215"/>
    </row>
    <row r="243" spans="1:14" ht="15.75">
      <c r="A243" s="136">
        <f t="shared" si="21"/>
        <v>4</v>
      </c>
      <c r="B243" s="19" t="s">
        <v>813</v>
      </c>
      <c r="C243" s="19" t="s">
        <v>1029</v>
      </c>
      <c r="D243" s="19">
        <v>101056</v>
      </c>
      <c r="E243" s="31" t="s">
        <v>101</v>
      </c>
      <c r="F243" s="14">
        <v>52.5</v>
      </c>
      <c r="G243" s="74">
        <v>50</v>
      </c>
      <c r="H243" s="75">
        <v>2.5</v>
      </c>
      <c r="I243" s="14"/>
      <c r="J243" s="18">
        <f t="shared" si="22"/>
        <v>52.5</v>
      </c>
      <c r="K243" s="32"/>
      <c r="L243" s="33">
        <f t="shared" si="20"/>
        <v>0</v>
      </c>
      <c r="M243" s="215"/>
    </row>
    <row r="244" spans="1:14" ht="15.75">
      <c r="A244" s="136">
        <f t="shared" si="21"/>
        <v>5</v>
      </c>
      <c r="B244" s="19" t="s">
        <v>801</v>
      </c>
      <c r="C244" s="19" t="s">
        <v>1029</v>
      </c>
      <c r="D244" s="19">
        <v>101332</v>
      </c>
      <c r="E244" s="118" t="s">
        <v>82</v>
      </c>
      <c r="F244" s="14">
        <v>190.12</v>
      </c>
      <c r="G244" s="74">
        <v>125</v>
      </c>
      <c r="H244" s="75">
        <v>8.67</v>
      </c>
      <c r="I244" s="14">
        <v>16.850000000000001</v>
      </c>
      <c r="J244" s="18">
        <f t="shared" si="22"/>
        <v>150.51999999999998</v>
      </c>
      <c r="K244" s="32">
        <v>39.6</v>
      </c>
      <c r="L244" s="33">
        <f t="shared" si="20"/>
        <v>2.8421709430404007E-14</v>
      </c>
      <c r="M244" s="37" t="s">
        <v>947</v>
      </c>
    </row>
    <row r="245" spans="1:14" ht="15.75">
      <c r="A245" s="136">
        <f t="shared" si="21"/>
        <v>6</v>
      </c>
      <c r="B245" s="19" t="s">
        <v>802</v>
      </c>
      <c r="C245" s="19" t="s">
        <v>1029</v>
      </c>
      <c r="D245" s="19">
        <v>101844</v>
      </c>
      <c r="E245" s="118" t="s">
        <v>803</v>
      </c>
      <c r="F245" s="14">
        <v>52.5</v>
      </c>
      <c r="G245" s="74">
        <v>50</v>
      </c>
      <c r="H245" s="75">
        <v>2.5</v>
      </c>
      <c r="I245" s="14"/>
      <c r="J245" s="18">
        <f t="shared" si="22"/>
        <v>52.5</v>
      </c>
      <c r="K245" s="32"/>
      <c r="L245" s="33">
        <f t="shared" si="20"/>
        <v>0</v>
      </c>
      <c r="M245" s="215"/>
    </row>
    <row r="246" spans="1:14" ht="15.75">
      <c r="A246" s="136">
        <f t="shared" si="21"/>
        <v>7</v>
      </c>
      <c r="B246" s="19" t="s">
        <v>804</v>
      </c>
      <c r="C246" s="19" t="s">
        <v>1029</v>
      </c>
      <c r="D246" s="19">
        <v>101036</v>
      </c>
      <c r="E246" s="118" t="s">
        <v>805</v>
      </c>
      <c r="F246" s="14">
        <v>119.39</v>
      </c>
      <c r="G246" s="53">
        <v>100</v>
      </c>
      <c r="H246" s="54">
        <v>5</v>
      </c>
      <c r="I246" s="248">
        <v>14.39</v>
      </c>
      <c r="J246" s="18">
        <f t="shared" si="22"/>
        <v>119.39</v>
      </c>
      <c r="K246" s="32"/>
      <c r="L246" s="33">
        <f t="shared" si="20"/>
        <v>0</v>
      </c>
      <c r="M246" s="215"/>
      <c r="N246" s="6"/>
    </row>
    <row r="247" spans="1:14" ht="15.75">
      <c r="A247" s="136">
        <f t="shared" si="21"/>
        <v>8</v>
      </c>
      <c r="B247" s="30" t="s">
        <v>806</v>
      </c>
      <c r="C247" s="19" t="s">
        <v>1029</v>
      </c>
      <c r="D247" s="19">
        <v>101727</v>
      </c>
      <c r="E247" s="50" t="s">
        <v>807</v>
      </c>
      <c r="F247" s="249">
        <v>223.03</v>
      </c>
      <c r="G247" s="74">
        <v>100</v>
      </c>
      <c r="H247" s="75">
        <v>5</v>
      </c>
      <c r="I247" s="249">
        <v>118.03</v>
      </c>
      <c r="J247" s="18">
        <f t="shared" si="22"/>
        <v>223.03</v>
      </c>
      <c r="K247" s="32"/>
      <c r="L247" s="33">
        <f t="shared" si="20"/>
        <v>0</v>
      </c>
      <c r="M247" s="215"/>
      <c r="N247" s="6"/>
    </row>
    <row r="248" spans="1:14" ht="15.75">
      <c r="A248" s="136">
        <f t="shared" si="21"/>
        <v>9</v>
      </c>
      <c r="B248" s="19" t="s">
        <v>808</v>
      </c>
      <c r="C248" s="19" t="s">
        <v>1029</v>
      </c>
      <c r="D248" s="19">
        <v>101709</v>
      </c>
      <c r="E248" s="118" t="s">
        <v>809</v>
      </c>
      <c r="F248" s="14">
        <v>133.69</v>
      </c>
      <c r="G248" s="74">
        <v>100</v>
      </c>
      <c r="H248" s="75">
        <v>5</v>
      </c>
      <c r="I248" s="14">
        <v>28.69</v>
      </c>
      <c r="J248" s="18">
        <f t="shared" ref="J248:J288" si="23">SUM(G248+H248+I248)</f>
        <v>133.69</v>
      </c>
      <c r="K248" s="32"/>
      <c r="L248" s="33">
        <f t="shared" si="20"/>
        <v>0</v>
      </c>
      <c r="M248" s="37"/>
      <c r="N248" s="6"/>
    </row>
    <row r="249" spans="1:14" ht="15.75">
      <c r="A249" s="136">
        <f t="shared" si="21"/>
        <v>10</v>
      </c>
      <c r="B249" s="19" t="s">
        <v>810</v>
      </c>
      <c r="C249" s="19" t="s">
        <v>1029</v>
      </c>
      <c r="D249" s="19">
        <v>101563</v>
      </c>
      <c r="E249" s="31" t="s">
        <v>811</v>
      </c>
      <c r="F249" s="14">
        <v>52.5</v>
      </c>
      <c r="G249" s="20">
        <v>50</v>
      </c>
      <c r="H249" s="21">
        <v>2.5</v>
      </c>
      <c r="I249" s="14"/>
      <c r="J249" s="18">
        <f t="shared" si="23"/>
        <v>52.5</v>
      </c>
      <c r="K249" s="32"/>
      <c r="L249" s="33">
        <f t="shared" si="20"/>
        <v>0</v>
      </c>
      <c r="M249" s="215"/>
      <c r="N249" s="6"/>
    </row>
    <row r="250" spans="1:14" ht="15.75">
      <c r="A250" s="136">
        <f t="shared" si="21"/>
        <v>11</v>
      </c>
      <c r="B250" s="28" t="s">
        <v>815</v>
      </c>
      <c r="C250" s="55" t="s">
        <v>1029</v>
      </c>
      <c r="D250" s="19">
        <v>101894</v>
      </c>
      <c r="E250" s="121" t="s">
        <v>816</v>
      </c>
      <c r="F250" s="14">
        <v>52.5</v>
      </c>
      <c r="G250" s="74">
        <v>50</v>
      </c>
      <c r="H250" s="241">
        <v>2.5</v>
      </c>
      <c r="I250" s="14"/>
      <c r="J250" s="18">
        <f>SUM(G250+H250+I250)</f>
        <v>52.5</v>
      </c>
      <c r="K250" s="32"/>
      <c r="L250" s="33">
        <f>+(F250-((SUM(J250+K250))))</f>
        <v>0</v>
      </c>
      <c r="M250" s="218"/>
      <c r="N250" s="6"/>
    </row>
    <row r="251" spans="1:14" ht="15.75">
      <c r="A251" s="136">
        <f t="shared" si="21"/>
        <v>12</v>
      </c>
      <c r="B251" s="19" t="s">
        <v>812</v>
      </c>
      <c r="C251" s="19" t="s">
        <v>1029</v>
      </c>
      <c r="D251" s="19">
        <v>101051</v>
      </c>
      <c r="E251" s="118" t="s">
        <v>91</v>
      </c>
      <c r="F251" s="14">
        <v>105</v>
      </c>
      <c r="G251" s="74">
        <v>100</v>
      </c>
      <c r="H251" s="75">
        <v>5</v>
      </c>
      <c r="I251" s="14"/>
      <c r="J251" s="18">
        <f t="shared" si="23"/>
        <v>105</v>
      </c>
      <c r="K251" s="32"/>
      <c r="L251" s="33">
        <f t="shared" si="20"/>
        <v>0</v>
      </c>
      <c r="M251" s="215"/>
      <c r="N251" s="6"/>
    </row>
    <row r="252" spans="1:14" ht="15.75">
      <c r="A252" s="136">
        <f t="shared" si="21"/>
        <v>13</v>
      </c>
      <c r="B252" s="19" t="s">
        <v>817</v>
      </c>
      <c r="C252" s="19" t="s">
        <v>1029</v>
      </c>
      <c r="D252" s="19">
        <v>101261</v>
      </c>
      <c r="E252" s="31" t="s">
        <v>99</v>
      </c>
      <c r="F252" s="14">
        <v>105</v>
      </c>
      <c r="G252" s="74">
        <v>100</v>
      </c>
      <c r="H252" s="75">
        <v>5</v>
      </c>
      <c r="I252" s="14"/>
      <c r="J252" s="18">
        <f>SUM(G252+H252+I252)</f>
        <v>105</v>
      </c>
      <c r="K252" s="32"/>
      <c r="L252" s="33">
        <f>+(F252-((SUM(J252+K252))))</f>
        <v>0</v>
      </c>
      <c r="M252" s="215"/>
      <c r="N252" s="6"/>
    </row>
    <row r="253" spans="1:14" ht="15.75">
      <c r="A253" s="136">
        <f t="shared" si="21"/>
        <v>14</v>
      </c>
      <c r="B253" s="30" t="s">
        <v>814</v>
      </c>
      <c r="C253" s="19" t="s">
        <v>1029</v>
      </c>
      <c r="D253" s="19">
        <v>101300</v>
      </c>
      <c r="E253" s="84" t="s">
        <v>115</v>
      </c>
      <c r="F253" s="249">
        <v>144.99</v>
      </c>
      <c r="G253" s="74">
        <v>100</v>
      </c>
      <c r="H253" s="75">
        <v>5</v>
      </c>
      <c r="I253" s="249"/>
      <c r="J253" s="25">
        <f t="shared" si="23"/>
        <v>105</v>
      </c>
      <c r="K253" s="35">
        <v>39.99</v>
      </c>
      <c r="L253" s="33">
        <f t="shared" si="20"/>
        <v>0</v>
      </c>
      <c r="M253" s="37" t="s">
        <v>947</v>
      </c>
      <c r="N253" s="6"/>
    </row>
    <row r="254" spans="1:14" ht="15.75">
      <c r="A254" s="136">
        <f t="shared" si="21"/>
        <v>15</v>
      </c>
      <c r="B254" s="19" t="s">
        <v>818</v>
      </c>
      <c r="C254" s="19" t="s">
        <v>1029</v>
      </c>
      <c r="D254" s="19">
        <v>101023</v>
      </c>
      <c r="E254" s="118" t="s">
        <v>819</v>
      </c>
      <c r="F254" s="14">
        <v>228.52</v>
      </c>
      <c r="G254" s="53">
        <v>200</v>
      </c>
      <c r="H254" s="54">
        <v>10</v>
      </c>
      <c r="I254" s="248">
        <v>0.86</v>
      </c>
      <c r="J254" s="25">
        <f t="shared" si="23"/>
        <v>210.86</v>
      </c>
      <c r="K254" s="32">
        <v>17.66</v>
      </c>
      <c r="L254" s="33">
        <f t="shared" si="20"/>
        <v>0</v>
      </c>
      <c r="M254" s="37" t="s">
        <v>947</v>
      </c>
      <c r="N254" s="6"/>
    </row>
    <row r="255" spans="1:14" ht="15.75">
      <c r="A255" s="136">
        <f t="shared" si="21"/>
        <v>16</v>
      </c>
      <c r="B255" s="30" t="s">
        <v>820</v>
      </c>
      <c r="C255" s="19" t="s">
        <v>1029</v>
      </c>
      <c r="D255" s="19">
        <v>101014</v>
      </c>
      <c r="E255" s="50" t="s">
        <v>821</v>
      </c>
      <c r="F255" s="249">
        <v>242.25</v>
      </c>
      <c r="G255" s="74">
        <v>200</v>
      </c>
      <c r="H255" s="75">
        <v>10</v>
      </c>
      <c r="I255" s="248"/>
      <c r="J255" s="25">
        <f t="shared" si="23"/>
        <v>210</v>
      </c>
      <c r="K255" s="76">
        <v>32.25</v>
      </c>
      <c r="L255" s="36">
        <f t="shared" si="20"/>
        <v>0</v>
      </c>
      <c r="M255" s="37" t="s">
        <v>947</v>
      </c>
      <c r="N255" s="6"/>
    </row>
    <row r="256" spans="1:14" ht="15.75">
      <c r="A256" s="136">
        <f t="shared" si="21"/>
        <v>17</v>
      </c>
      <c r="B256" s="19" t="s">
        <v>824</v>
      </c>
      <c r="C256" s="19" t="s">
        <v>1029</v>
      </c>
      <c r="D256" s="19">
        <v>101693</v>
      </c>
      <c r="E256" s="118" t="s">
        <v>1030</v>
      </c>
      <c r="F256" s="14">
        <v>105</v>
      </c>
      <c r="G256" s="53">
        <v>100</v>
      </c>
      <c r="H256" s="54">
        <v>5</v>
      </c>
      <c r="I256" s="248"/>
      <c r="J256" s="25">
        <f t="shared" si="23"/>
        <v>105</v>
      </c>
      <c r="K256" s="77"/>
      <c r="L256" s="33">
        <f t="shared" si="20"/>
        <v>0</v>
      </c>
      <c r="M256" s="215"/>
      <c r="N256" s="6"/>
    </row>
    <row r="257" spans="1:15" ht="15.75">
      <c r="A257" s="136">
        <f t="shared" si="21"/>
        <v>18</v>
      </c>
      <c r="B257" s="12" t="s">
        <v>826</v>
      </c>
      <c r="C257" s="19" t="s">
        <v>1029</v>
      </c>
      <c r="D257" s="19">
        <v>101693</v>
      </c>
      <c r="E257" s="118" t="s">
        <v>1031</v>
      </c>
      <c r="F257" s="14">
        <v>105</v>
      </c>
      <c r="G257" s="74">
        <v>100</v>
      </c>
      <c r="H257" s="75">
        <v>5</v>
      </c>
      <c r="I257" s="14"/>
      <c r="J257" s="25">
        <f t="shared" si="23"/>
        <v>105</v>
      </c>
      <c r="K257" s="32"/>
      <c r="L257" s="33">
        <f t="shared" si="20"/>
        <v>0</v>
      </c>
      <c r="M257" s="215"/>
      <c r="N257" s="6"/>
    </row>
    <row r="258" spans="1:15" ht="15.75">
      <c r="A258" s="136">
        <f t="shared" si="21"/>
        <v>19</v>
      </c>
      <c r="B258" s="145" t="s">
        <v>831</v>
      </c>
      <c r="C258" s="145" t="s">
        <v>1029</v>
      </c>
      <c r="D258" s="19">
        <v>101692</v>
      </c>
      <c r="E258" s="123" t="s">
        <v>210</v>
      </c>
      <c r="F258" s="256">
        <v>347.97</v>
      </c>
      <c r="G258" s="70">
        <v>100</v>
      </c>
      <c r="H258" s="71">
        <v>5</v>
      </c>
      <c r="I258" s="256">
        <v>242.97</v>
      </c>
      <c r="J258" s="25">
        <f t="shared" si="23"/>
        <v>347.97</v>
      </c>
      <c r="K258" s="146"/>
      <c r="L258" s="47">
        <f t="shared" si="20"/>
        <v>0</v>
      </c>
      <c r="M258" s="215"/>
      <c r="N258" s="6"/>
    </row>
    <row r="259" spans="1:15" ht="15.75">
      <c r="A259" s="136">
        <f t="shared" si="21"/>
        <v>20</v>
      </c>
      <c r="B259" s="19" t="s">
        <v>832</v>
      </c>
      <c r="C259" s="19" t="s">
        <v>1029</v>
      </c>
      <c r="D259" s="19">
        <v>101719</v>
      </c>
      <c r="E259" s="31" t="s">
        <v>833</v>
      </c>
      <c r="F259" s="14">
        <v>184.67</v>
      </c>
      <c r="G259" s="74">
        <v>125</v>
      </c>
      <c r="H259" s="75">
        <v>6.25</v>
      </c>
      <c r="I259" s="14">
        <v>53.42</v>
      </c>
      <c r="J259" s="25">
        <f t="shared" si="23"/>
        <v>184.67000000000002</v>
      </c>
      <c r="K259" s="32"/>
      <c r="L259" s="33">
        <f t="shared" si="20"/>
        <v>-2.8421709430404007E-14</v>
      </c>
      <c r="M259" s="215"/>
      <c r="N259" s="6"/>
      <c r="O259" s="6"/>
    </row>
    <row r="260" spans="1:15" ht="15.75">
      <c r="A260" s="136">
        <f t="shared" si="21"/>
        <v>21</v>
      </c>
      <c r="B260" s="19" t="s">
        <v>836</v>
      </c>
      <c r="C260" s="19" t="s">
        <v>1029</v>
      </c>
      <c r="D260" s="19">
        <v>101734</v>
      </c>
      <c r="E260" s="118" t="s">
        <v>381</v>
      </c>
      <c r="F260" s="14">
        <v>291.52</v>
      </c>
      <c r="G260" s="20">
        <v>190</v>
      </c>
      <c r="H260" s="21">
        <v>9.5</v>
      </c>
      <c r="I260" s="14">
        <v>92.02</v>
      </c>
      <c r="J260" s="25">
        <f t="shared" si="23"/>
        <v>291.52</v>
      </c>
      <c r="K260" s="32"/>
      <c r="L260" s="33">
        <f t="shared" si="20"/>
        <v>0</v>
      </c>
      <c r="M260" s="215"/>
      <c r="N260" s="6"/>
    </row>
    <row r="261" spans="1:15" ht="15.75">
      <c r="A261" s="136">
        <f t="shared" si="21"/>
        <v>22</v>
      </c>
      <c r="B261" s="132" t="s">
        <v>837</v>
      </c>
      <c r="C261" s="19" t="s">
        <v>1029</v>
      </c>
      <c r="D261" s="197">
        <v>101911</v>
      </c>
      <c r="E261" s="31" t="s">
        <v>838</v>
      </c>
      <c r="F261" s="14">
        <v>159.19999999999999</v>
      </c>
      <c r="G261" s="238">
        <v>100</v>
      </c>
      <c r="H261" s="131">
        <v>5</v>
      </c>
      <c r="I261" s="14">
        <v>54.2</v>
      </c>
      <c r="J261" s="25">
        <f t="shared" si="23"/>
        <v>159.19999999999999</v>
      </c>
      <c r="K261" s="32"/>
      <c r="L261" s="33">
        <f t="shared" si="20"/>
        <v>0</v>
      </c>
      <c r="M261" s="42"/>
      <c r="N261" s="6"/>
    </row>
    <row r="262" spans="1:15" ht="15.75">
      <c r="A262" s="136">
        <f t="shared" si="21"/>
        <v>23</v>
      </c>
      <c r="B262" s="19" t="s">
        <v>839</v>
      </c>
      <c r="C262" s="19" t="s">
        <v>1029</v>
      </c>
      <c r="D262" s="19">
        <v>101729</v>
      </c>
      <c r="E262" s="118" t="s">
        <v>840</v>
      </c>
      <c r="F262" s="14">
        <v>198.21</v>
      </c>
      <c r="G262" s="20">
        <v>100</v>
      </c>
      <c r="H262" s="21">
        <v>5</v>
      </c>
      <c r="I262" s="14">
        <v>93.21</v>
      </c>
      <c r="J262" s="25">
        <f t="shared" si="23"/>
        <v>198.20999999999998</v>
      </c>
      <c r="K262" s="32"/>
      <c r="L262" s="33">
        <f t="shared" si="20"/>
        <v>2.8421709430404007E-14</v>
      </c>
      <c r="M262" s="215"/>
      <c r="N262" s="6"/>
    </row>
    <row r="263" spans="1:15" ht="15.75">
      <c r="A263" s="136">
        <f t="shared" si="21"/>
        <v>24</v>
      </c>
      <c r="B263" s="19" t="s">
        <v>841</v>
      </c>
      <c r="C263" s="19" t="s">
        <v>1029</v>
      </c>
      <c r="D263" s="19">
        <v>101275</v>
      </c>
      <c r="E263" s="31" t="s">
        <v>842</v>
      </c>
      <c r="F263" s="14">
        <v>109.35</v>
      </c>
      <c r="G263" s="53">
        <v>100</v>
      </c>
      <c r="H263" s="54">
        <v>5</v>
      </c>
      <c r="I263" s="248">
        <v>4.3499999999999996</v>
      </c>
      <c r="J263" s="25">
        <f t="shared" si="23"/>
        <v>109.35</v>
      </c>
      <c r="K263" s="61"/>
      <c r="L263" s="33">
        <f t="shared" si="20"/>
        <v>0</v>
      </c>
      <c r="M263" s="37"/>
      <c r="N263" s="6"/>
    </row>
    <row r="264" spans="1:15" ht="15.75">
      <c r="A264" s="136">
        <f t="shared" si="21"/>
        <v>25</v>
      </c>
      <c r="B264" s="132" t="s">
        <v>843</v>
      </c>
      <c r="C264" s="197" t="s">
        <v>1029</v>
      </c>
      <c r="D264" s="197">
        <v>105048</v>
      </c>
      <c r="E264" s="31" t="s">
        <v>844</v>
      </c>
      <c r="F264" s="14">
        <v>207</v>
      </c>
      <c r="G264" s="238">
        <v>75</v>
      </c>
      <c r="H264" s="131">
        <v>3.2</v>
      </c>
      <c r="I264" s="14">
        <v>128.80000000000001</v>
      </c>
      <c r="J264" s="25">
        <f t="shared" si="23"/>
        <v>207</v>
      </c>
      <c r="K264" s="32"/>
      <c r="L264" s="33">
        <f t="shared" si="20"/>
        <v>0</v>
      </c>
      <c r="M264" s="215"/>
      <c r="N264" s="6"/>
    </row>
    <row r="265" spans="1:15" ht="15.75">
      <c r="A265" s="136">
        <f t="shared" si="21"/>
        <v>26</v>
      </c>
      <c r="B265" s="19" t="s">
        <v>44</v>
      </c>
      <c r="C265" s="19" t="s">
        <v>1029</v>
      </c>
      <c r="D265" s="19">
        <v>101743</v>
      </c>
      <c r="E265" s="31" t="s">
        <v>845</v>
      </c>
      <c r="F265" s="14">
        <v>224.18</v>
      </c>
      <c r="G265" s="53">
        <v>100</v>
      </c>
      <c r="H265" s="54">
        <v>5</v>
      </c>
      <c r="I265" s="14">
        <v>119.18</v>
      </c>
      <c r="J265" s="25">
        <f t="shared" si="23"/>
        <v>224.18</v>
      </c>
      <c r="K265" s="32"/>
      <c r="L265" s="33">
        <f t="shared" si="20"/>
        <v>0</v>
      </c>
      <c r="M265" s="215"/>
      <c r="N265" s="6"/>
    </row>
    <row r="266" spans="1:15" ht="15.75">
      <c r="A266" s="136">
        <f t="shared" si="21"/>
        <v>27</v>
      </c>
      <c r="B266" s="19" t="s">
        <v>846</v>
      </c>
      <c r="C266" s="19" t="s">
        <v>1029</v>
      </c>
      <c r="D266" s="19">
        <v>101572</v>
      </c>
      <c r="E266" s="31" t="s">
        <v>335</v>
      </c>
      <c r="F266" s="14">
        <v>105</v>
      </c>
      <c r="G266" s="74">
        <v>100</v>
      </c>
      <c r="H266" s="75">
        <v>5</v>
      </c>
      <c r="I266" s="257"/>
      <c r="J266" s="25">
        <f t="shared" si="23"/>
        <v>105</v>
      </c>
      <c r="K266" s="32"/>
      <c r="L266" s="33">
        <f t="shared" si="20"/>
        <v>0</v>
      </c>
      <c r="M266" s="37"/>
      <c r="N266" s="6"/>
    </row>
    <row r="267" spans="1:15" ht="15.75">
      <c r="A267" s="136">
        <f t="shared" si="21"/>
        <v>28</v>
      </c>
      <c r="B267" s="30" t="s">
        <v>847</v>
      </c>
      <c r="C267" s="19" t="s">
        <v>1029</v>
      </c>
      <c r="D267" s="19">
        <v>101106</v>
      </c>
      <c r="E267" s="84" t="s">
        <v>337</v>
      </c>
      <c r="F267" s="249">
        <v>105</v>
      </c>
      <c r="G267" s="74">
        <v>100</v>
      </c>
      <c r="H267" s="75">
        <v>5</v>
      </c>
      <c r="I267" s="248"/>
      <c r="J267" s="25">
        <f t="shared" si="23"/>
        <v>105</v>
      </c>
      <c r="K267" s="35"/>
      <c r="L267" s="33">
        <f t="shared" si="20"/>
        <v>0</v>
      </c>
      <c r="M267" s="37"/>
      <c r="N267" s="6"/>
    </row>
    <row r="268" spans="1:15" ht="15.75">
      <c r="A268" s="136">
        <f t="shared" si="21"/>
        <v>29</v>
      </c>
      <c r="B268" s="19" t="s">
        <v>848</v>
      </c>
      <c r="C268" s="19" t="s">
        <v>1029</v>
      </c>
      <c r="D268" s="19">
        <v>101700</v>
      </c>
      <c r="E268" s="31" t="s">
        <v>339</v>
      </c>
      <c r="F268" s="14">
        <v>105</v>
      </c>
      <c r="G268" s="74">
        <v>100</v>
      </c>
      <c r="H268" s="75">
        <v>5</v>
      </c>
      <c r="I268" s="248"/>
      <c r="J268" s="25">
        <f t="shared" si="23"/>
        <v>105</v>
      </c>
      <c r="K268" s="32"/>
      <c r="L268" s="33">
        <f t="shared" si="20"/>
        <v>0</v>
      </c>
      <c r="M268" s="37"/>
      <c r="N268" s="40"/>
    </row>
    <row r="269" spans="1:15" ht="15.75">
      <c r="A269" s="136">
        <f t="shared" si="21"/>
        <v>30</v>
      </c>
      <c r="B269" s="19" t="s">
        <v>849</v>
      </c>
      <c r="C269" s="19"/>
      <c r="D269" s="19">
        <v>101319</v>
      </c>
      <c r="E269" s="31" t="s">
        <v>113</v>
      </c>
      <c r="F269" s="14">
        <v>52.5</v>
      </c>
      <c r="G269" s="74">
        <v>50</v>
      </c>
      <c r="H269" s="75">
        <v>2.5</v>
      </c>
      <c r="I269" s="14"/>
      <c r="J269" s="25">
        <f t="shared" si="23"/>
        <v>52.5</v>
      </c>
      <c r="K269" s="32"/>
      <c r="L269" s="33">
        <f t="shared" si="20"/>
        <v>0</v>
      </c>
      <c r="M269" s="215"/>
      <c r="N269" s="6"/>
    </row>
    <row r="270" spans="1:15" ht="15.75">
      <c r="A270" s="136">
        <f t="shared" si="21"/>
        <v>31</v>
      </c>
      <c r="B270" s="19" t="s">
        <v>854</v>
      </c>
      <c r="C270" s="19" t="s">
        <v>1029</v>
      </c>
      <c r="D270" s="19">
        <v>101725</v>
      </c>
      <c r="E270" s="118" t="s">
        <v>855</v>
      </c>
      <c r="F270" s="14">
        <v>141.76</v>
      </c>
      <c r="G270" s="20">
        <v>100</v>
      </c>
      <c r="H270" s="21">
        <v>5</v>
      </c>
      <c r="I270" s="14">
        <v>36.76</v>
      </c>
      <c r="J270" s="25">
        <f t="shared" si="23"/>
        <v>141.76</v>
      </c>
      <c r="K270" s="32"/>
      <c r="L270" s="33">
        <f t="shared" si="20"/>
        <v>0</v>
      </c>
      <c r="M270" s="215"/>
      <c r="N270" s="6"/>
    </row>
    <row r="271" spans="1:15" ht="15.75">
      <c r="A271" s="136">
        <f t="shared" si="21"/>
        <v>32</v>
      </c>
      <c r="B271" s="19" t="s">
        <v>856</v>
      </c>
      <c r="C271" s="19" t="s">
        <v>1029</v>
      </c>
      <c r="D271" s="19">
        <v>101723</v>
      </c>
      <c r="E271" s="118" t="s">
        <v>857</v>
      </c>
      <c r="F271" s="14">
        <v>163.03</v>
      </c>
      <c r="G271" s="20">
        <v>100</v>
      </c>
      <c r="H271" s="21">
        <v>9.6999999999999993</v>
      </c>
      <c r="I271" s="14">
        <v>53.33</v>
      </c>
      <c r="J271" s="25">
        <f t="shared" si="23"/>
        <v>163.03</v>
      </c>
      <c r="K271" s="32"/>
      <c r="L271" s="33">
        <f t="shared" si="20"/>
        <v>0</v>
      </c>
      <c r="M271" s="215"/>
      <c r="N271" s="40"/>
    </row>
    <row r="272" spans="1:15" ht="15.75">
      <c r="A272" s="136">
        <f t="shared" si="21"/>
        <v>33</v>
      </c>
      <c r="B272" s="19" t="s">
        <v>47</v>
      </c>
      <c r="C272" s="19" t="s">
        <v>1029</v>
      </c>
      <c r="D272" s="19">
        <v>101883</v>
      </c>
      <c r="E272" s="31" t="s">
        <v>859</v>
      </c>
      <c r="F272" s="14">
        <v>52.5</v>
      </c>
      <c r="G272" s="53">
        <v>50</v>
      </c>
      <c r="H272" s="54">
        <v>2.5</v>
      </c>
      <c r="I272" s="14"/>
      <c r="J272" s="25">
        <f t="shared" si="23"/>
        <v>52.5</v>
      </c>
      <c r="K272" s="32"/>
      <c r="L272" s="33">
        <f t="shared" si="20"/>
        <v>0</v>
      </c>
      <c r="M272" s="37"/>
      <c r="N272" s="40"/>
    </row>
    <row r="273" spans="1:14" ht="15.75">
      <c r="A273" s="136">
        <f t="shared" si="21"/>
        <v>34</v>
      </c>
      <c r="B273" s="19" t="s">
        <v>866</v>
      </c>
      <c r="C273" s="19" t="s">
        <v>1029</v>
      </c>
      <c r="D273" s="19">
        <v>101763</v>
      </c>
      <c r="E273" s="31" t="s">
        <v>867</v>
      </c>
      <c r="F273" s="14">
        <v>105</v>
      </c>
      <c r="G273" s="53">
        <v>100</v>
      </c>
      <c r="H273" s="54">
        <v>5</v>
      </c>
      <c r="I273" s="14"/>
      <c r="J273" s="25">
        <f t="shared" si="23"/>
        <v>105</v>
      </c>
      <c r="K273" s="32"/>
      <c r="L273" s="33">
        <f t="shared" si="20"/>
        <v>0</v>
      </c>
      <c r="M273" s="215"/>
      <c r="N273" s="58"/>
    </row>
    <row r="274" spans="1:14" ht="15.75">
      <c r="A274" s="136">
        <f t="shared" si="21"/>
        <v>35</v>
      </c>
      <c r="B274" s="19" t="s">
        <v>868</v>
      </c>
      <c r="C274" s="19" t="s">
        <v>1029</v>
      </c>
      <c r="D274" s="19">
        <v>101843</v>
      </c>
      <c r="E274" s="31" t="s">
        <v>869</v>
      </c>
      <c r="F274" s="14">
        <v>52.5</v>
      </c>
      <c r="G274" s="53">
        <v>50</v>
      </c>
      <c r="H274" s="54">
        <v>2.5</v>
      </c>
      <c r="I274" s="14"/>
      <c r="J274" s="25">
        <f t="shared" si="23"/>
        <v>52.5</v>
      </c>
      <c r="K274" s="32"/>
      <c r="L274" s="33">
        <f t="shared" si="20"/>
        <v>0</v>
      </c>
      <c r="M274" s="37"/>
      <c r="N274" s="59" t="s">
        <v>525</v>
      </c>
    </row>
    <row r="275" spans="1:14" ht="15.75">
      <c r="A275" s="136">
        <f t="shared" si="21"/>
        <v>36</v>
      </c>
      <c r="B275" s="19" t="s">
        <v>870</v>
      </c>
      <c r="C275" s="19" t="s">
        <v>1029</v>
      </c>
      <c r="D275" s="19">
        <v>101771</v>
      </c>
      <c r="E275" s="31" t="s">
        <v>871</v>
      </c>
      <c r="F275" s="14">
        <v>105</v>
      </c>
      <c r="G275" s="53">
        <v>100</v>
      </c>
      <c r="H275" s="54">
        <v>5</v>
      </c>
      <c r="I275" s="14"/>
      <c r="J275" s="25">
        <f t="shared" si="23"/>
        <v>105</v>
      </c>
      <c r="K275" s="32"/>
      <c r="L275" s="33">
        <f t="shared" si="20"/>
        <v>0</v>
      </c>
      <c r="M275" s="215"/>
      <c r="N275" s="60" t="s">
        <v>79</v>
      </c>
    </row>
    <row r="276" spans="1:14" ht="15.75">
      <c r="A276" s="136">
        <f t="shared" si="21"/>
        <v>37</v>
      </c>
      <c r="B276" s="19" t="s">
        <v>872</v>
      </c>
      <c r="C276" s="19" t="s">
        <v>1029</v>
      </c>
      <c r="D276" s="19">
        <v>101772</v>
      </c>
      <c r="E276" s="31" t="s">
        <v>873</v>
      </c>
      <c r="F276" s="14">
        <v>120.38</v>
      </c>
      <c r="G276" s="53">
        <v>100</v>
      </c>
      <c r="H276" s="54">
        <v>5</v>
      </c>
      <c r="I276" s="14">
        <v>15.38</v>
      </c>
      <c r="J276" s="25">
        <f t="shared" si="23"/>
        <v>120.38</v>
      </c>
      <c r="K276" s="32"/>
      <c r="L276" s="33">
        <f t="shared" si="20"/>
        <v>0</v>
      </c>
      <c r="M276" s="215"/>
      <c r="N276" s="40"/>
    </row>
    <row r="277" spans="1:14" ht="15.75">
      <c r="A277" s="136">
        <f t="shared" si="21"/>
        <v>38</v>
      </c>
      <c r="B277" s="19" t="s">
        <v>874</v>
      </c>
      <c r="C277" s="19" t="s">
        <v>1029</v>
      </c>
      <c r="D277" s="19">
        <v>101817</v>
      </c>
      <c r="E277" s="117" t="s">
        <v>875</v>
      </c>
      <c r="F277" s="14">
        <v>52.5</v>
      </c>
      <c r="G277" s="53">
        <v>50</v>
      </c>
      <c r="H277" s="54">
        <v>2.5</v>
      </c>
      <c r="I277" s="14"/>
      <c r="J277" s="25">
        <f t="shared" si="23"/>
        <v>52.5</v>
      </c>
      <c r="K277" s="32"/>
      <c r="L277" s="33">
        <f t="shared" si="20"/>
        <v>0</v>
      </c>
      <c r="M277" s="37"/>
      <c r="N277" s="40"/>
    </row>
    <row r="278" spans="1:14" ht="15.75">
      <c r="A278" s="136">
        <f t="shared" si="21"/>
        <v>39</v>
      </c>
      <c r="B278" s="132" t="s">
        <v>708</v>
      </c>
      <c r="C278" s="197" t="s">
        <v>1029</v>
      </c>
      <c r="D278" s="197">
        <v>105098</v>
      </c>
      <c r="E278" s="31" t="s">
        <v>709</v>
      </c>
      <c r="F278" s="14">
        <v>52.5</v>
      </c>
      <c r="G278" s="238">
        <v>50</v>
      </c>
      <c r="H278" s="131">
        <v>2.5</v>
      </c>
      <c r="I278" s="14"/>
      <c r="J278" s="18">
        <f>SUM(G278+H278+I278)</f>
        <v>52.5</v>
      </c>
      <c r="K278" s="32"/>
      <c r="L278" s="33">
        <f>+(F278-((SUM(J278+K278))))</f>
        <v>0</v>
      </c>
      <c r="M278" s="215"/>
      <c r="N278" s="6"/>
    </row>
    <row r="279" spans="1:14" ht="15.75">
      <c r="A279" s="136">
        <f t="shared" si="21"/>
        <v>40</v>
      </c>
      <c r="B279" s="19" t="s">
        <v>876</v>
      </c>
      <c r="C279" s="19" t="s">
        <v>1029</v>
      </c>
      <c r="D279" s="19">
        <v>101816</v>
      </c>
      <c r="E279" s="31" t="s">
        <v>877</v>
      </c>
      <c r="F279" s="14">
        <v>105</v>
      </c>
      <c r="G279" s="74">
        <v>100</v>
      </c>
      <c r="H279" s="54">
        <v>5</v>
      </c>
      <c r="I279" s="14"/>
      <c r="J279" s="25">
        <f t="shared" si="23"/>
        <v>105</v>
      </c>
      <c r="K279" s="32"/>
      <c r="L279" s="33">
        <f t="shared" si="20"/>
        <v>0</v>
      </c>
      <c r="M279" s="215"/>
      <c r="N279" s="40"/>
    </row>
    <row r="280" spans="1:14" ht="15.75">
      <c r="A280" s="136">
        <f t="shared" si="21"/>
        <v>41</v>
      </c>
      <c r="B280" s="19" t="s">
        <v>882</v>
      </c>
      <c r="C280" s="19" t="s">
        <v>1029</v>
      </c>
      <c r="D280" s="19">
        <v>101829</v>
      </c>
      <c r="E280" s="31" t="s">
        <v>1032</v>
      </c>
      <c r="F280" s="14">
        <v>52.5</v>
      </c>
      <c r="G280" s="74">
        <v>50</v>
      </c>
      <c r="H280" s="54">
        <v>2.5</v>
      </c>
      <c r="I280" s="14"/>
      <c r="J280" s="25">
        <f t="shared" si="23"/>
        <v>52.5</v>
      </c>
      <c r="K280" s="32"/>
      <c r="L280" s="33">
        <f t="shared" si="20"/>
        <v>0</v>
      </c>
      <c r="M280" s="215"/>
      <c r="N280" s="40"/>
    </row>
    <row r="281" spans="1:14" ht="15.75">
      <c r="A281" s="136">
        <f t="shared" si="21"/>
        <v>42</v>
      </c>
      <c r="B281" s="116" t="s">
        <v>884</v>
      </c>
      <c r="C281" s="19"/>
      <c r="D281" s="19"/>
      <c r="E281" s="31" t="s">
        <v>885</v>
      </c>
      <c r="F281" s="14">
        <v>313.95</v>
      </c>
      <c r="G281" s="74">
        <v>299</v>
      </c>
      <c r="H281" s="54">
        <v>14.95</v>
      </c>
      <c r="I281" s="14"/>
      <c r="J281" s="25">
        <f t="shared" si="23"/>
        <v>313.95</v>
      </c>
      <c r="K281" s="32"/>
      <c r="L281" s="33">
        <f t="shared" si="20"/>
        <v>0</v>
      </c>
      <c r="M281" s="215"/>
      <c r="N281" s="195"/>
    </row>
    <row r="282" spans="1:14" ht="15.75">
      <c r="A282" s="136">
        <f t="shared" si="21"/>
        <v>43</v>
      </c>
      <c r="B282" s="116" t="s">
        <v>886</v>
      </c>
      <c r="C282" s="19"/>
      <c r="D282" s="19"/>
      <c r="E282" s="31" t="s">
        <v>887</v>
      </c>
      <c r="F282" s="14">
        <v>210</v>
      </c>
      <c r="G282" s="74">
        <v>200</v>
      </c>
      <c r="H282" s="54">
        <v>10</v>
      </c>
      <c r="I282" s="14"/>
      <c r="J282" s="25">
        <f t="shared" si="23"/>
        <v>210</v>
      </c>
      <c r="K282" s="179"/>
      <c r="L282" s="33">
        <f t="shared" si="20"/>
        <v>0</v>
      </c>
      <c r="M282" s="217"/>
      <c r="N282" s="194"/>
    </row>
    <row r="283" spans="1:14" ht="15.75">
      <c r="A283" s="136">
        <f t="shared" si="21"/>
        <v>44</v>
      </c>
      <c r="B283" s="116" t="s">
        <v>892</v>
      </c>
      <c r="C283" s="19" t="s">
        <v>1029</v>
      </c>
      <c r="D283" s="19">
        <v>101856</v>
      </c>
      <c r="E283" s="31" t="s">
        <v>893</v>
      </c>
      <c r="F283" s="14">
        <v>52.5</v>
      </c>
      <c r="G283" s="74">
        <v>50</v>
      </c>
      <c r="H283" s="54">
        <v>2.5</v>
      </c>
      <c r="I283" s="14"/>
      <c r="J283" s="25">
        <f t="shared" si="23"/>
        <v>52.5</v>
      </c>
      <c r="K283" s="32"/>
      <c r="L283" s="33">
        <f t="shared" si="20"/>
        <v>0</v>
      </c>
      <c r="M283" s="215"/>
      <c r="N283" s="6" t="s">
        <v>539</v>
      </c>
    </row>
    <row r="284" spans="1:14" ht="15.75">
      <c r="A284" s="136">
        <f t="shared" si="21"/>
        <v>45</v>
      </c>
      <c r="B284" s="116" t="s">
        <v>894</v>
      </c>
      <c r="C284" s="19" t="s">
        <v>1029</v>
      </c>
      <c r="D284" s="19">
        <v>101876</v>
      </c>
      <c r="E284" s="31" t="s">
        <v>895</v>
      </c>
      <c r="F284" s="14">
        <v>52.5</v>
      </c>
      <c r="G284" s="74">
        <v>50</v>
      </c>
      <c r="H284" s="54">
        <v>2.5</v>
      </c>
      <c r="I284" s="14"/>
      <c r="J284" s="25">
        <f t="shared" si="23"/>
        <v>52.5</v>
      </c>
      <c r="K284" s="32"/>
      <c r="L284" s="33">
        <f t="shared" si="20"/>
        <v>0</v>
      </c>
      <c r="M284" s="215"/>
      <c r="N284" s="6" t="s">
        <v>542</v>
      </c>
    </row>
    <row r="285" spans="1:14" ht="15.75">
      <c r="A285" s="136">
        <f t="shared" si="21"/>
        <v>46</v>
      </c>
      <c r="B285" s="116" t="s">
        <v>896</v>
      </c>
      <c r="C285" s="19" t="s">
        <v>1029</v>
      </c>
      <c r="D285" s="19">
        <v>101877</v>
      </c>
      <c r="E285" s="31" t="s">
        <v>1033</v>
      </c>
      <c r="F285" s="14">
        <v>52.5</v>
      </c>
      <c r="G285" s="74">
        <v>50</v>
      </c>
      <c r="H285" s="54">
        <v>2.5</v>
      </c>
      <c r="I285" s="14"/>
      <c r="J285" s="25">
        <f t="shared" si="23"/>
        <v>52.5</v>
      </c>
      <c r="K285" s="32"/>
      <c r="L285" s="33">
        <f t="shared" si="20"/>
        <v>0</v>
      </c>
      <c r="M285" s="215"/>
      <c r="N285" s="40"/>
    </row>
    <row r="286" spans="1:14" ht="15.75">
      <c r="A286" s="136">
        <f t="shared" si="21"/>
        <v>47</v>
      </c>
      <c r="B286" s="19" t="s">
        <v>906</v>
      </c>
      <c r="C286" s="19" t="s">
        <v>1029</v>
      </c>
      <c r="D286" s="19">
        <v>101898</v>
      </c>
      <c r="E286" s="31" t="s">
        <v>907</v>
      </c>
      <c r="F286" s="14">
        <v>132.41</v>
      </c>
      <c r="G286" s="74">
        <v>50</v>
      </c>
      <c r="H286" s="54">
        <v>2.5</v>
      </c>
      <c r="I286" s="14"/>
      <c r="J286" s="25">
        <f t="shared" si="23"/>
        <v>52.5</v>
      </c>
      <c r="K286" s="162">
        <v>79.91</v>
      </c>
      <c r="L286" s="33">
        <f>+(F286-((SUM(J286+K286))))</f>
        <v>0</v>
      </c>
      <c r="M286" s="37" t="s">
        <v>947</v>
      </c>
      <c r="N286" s="40"/>
    </row>
    <row r="287" spans="1:14" ht="15.75">
      <c r="A287" s="136">
        <f t="shared" si="21"/>
        <v>48</v>
      </c>
      <c r="B287" s="19" t="s">
        <v>910</v>
      </c>
      <c r="C287" s="19" t="s">
        <v>1029</v>
      </c>
      <c r="D287" s="19">
        <v>101892</v>
      </c>
      <c r="E287" s="31" t="s">
        <v>911</v>
      </c>
      <c r="F287" s="14">
        <v>85.43</v>
      </c>
      <c r="G287" s="74">
        <v>50</v>
      </c>
      <c r="H287" s="54">
        <v>2.5</v>
      </c>
      <c r="I287" s="14">
        <v>32.93</v>
      </c>
      <c r="J287" s="25">
        <f t="shared" si="23"/>
        <v>85.43</v>
      </c>
      <c r="K287" s="32"/>
      <c r="L287" s="33">
        <f t="shared" ref="L287:L289" si="24">+(F287-((SUM(J287+K287))))</f>
        <v>0</v>
      </c>
      <c r="M287" s="215"/>
      <c r="N287" s="40"/>
    </row>
    <row r="288" spans="1:14" ht="15.75">
      <c r="A288" s="136">
        <f t="shared" si="21"/>
        <v>49</v>
      </c>
      <c r="B288" s="19" t="s">
        <v>912</v>
      </c>
      <c r="C288" s="19" t="s">
        <v>1029</v>
      </c>
      <c r="D288" s="19">
        <v>101889</v>
      </c>
      <c r="E288" s="31" t="s">
        <v>913</v>
      </c>
      <c r="F288" s="14">
        <v>52.5</v>
      </c>
      <c r="G288" s="74">
        <v>50</v>
      </c>
      <c r="H288" s="54">
        <v>2.5</v>
      </c>
      <c r="I288" s="14"/>
      <c r="J288" s="25">
        <f t="shared" si="23"/>
        <v>52.5</v>
      </c>
      <c r="K288" s="32"/>
      <c r="L288" s="33">
        <f t="shared" si="24"/>
        <v>0</v>
      </c>
      <c r="M288" s="215"/>
      <c r="N288" s="40"/>
    </row>
    <row r="289" spans="1:14" ht="15.75">
      <c r="A289" s="136">
        <f t="shared" si="21"/>
        <v>50</v>
      </c>
      <c r="B289" s="19" t="s">
        <v>916</v>
      </c>
      <c r="C289" s="19" t="s">
        <v>1029</v>
      </c>
      <c r="D289" s="19">
        <v>101884</v>
      </c>
      <c r="E289" s="31" t="s">
        <v>917</v>
      </c>
      <c r="F289" s="14">
        <v>52.5</v>
      </c>
      <c r="G289" s="74">
        <v>50</v>
      </c>
      <c r="H289" s="54">
        <v>2.5</v>
      </c>
      <c r="I289" s="14"/>
      <c r="J289" s="25">
        <f>SUM(G289+H289+I289)</f>
        <v>52.5</v>
      </c>
      <c r="K289" s="32"/>
      <c r="L289" s="33">
        <f t="shared" si="24"/>
        <v>0</v>
      </c>
      <c r="M289" s="215"/>
      <c r="N289" s="195"/>
    </row>
    <row r="290" spans="1:14" ht="15.75">
      <c r="A290" s="136">
        <f t="shared" si="21"/>
        <v>51</v>
      </c>
      <c r="B290" s="132" t="s">
        <v>631</v>
      </c>
      <c r="C290" s="197" t="s">
        <v>1029</v>
      </c>
      <c r="D290" s="197">
        <v>105115</v>
      </c>
      <c r="E290" s="31" t="s">
        <v>632</v>
      </c>
      <c r="F290" s="14">
        <v>52.5</v>
      </c>
      <c r="G290" s="238">
        <v>50</v>
      </c>
      <c r="H290" s="131">
        <v>2.5</v>
      </c>
      <c r="I290" s="14"/>
      <c r="J290" s="18">
        <f>SUM(G290+H290+I290)</f>
        <v>52.5</v>
      </c>
      <c r="K290" s="32"/>
      <c r="L290" s="33">
        <f>+(F290-((SUM(J290+K290))))</f>
        <v>0</v>
      </c>
      <c r="M290" s="215"/>
      <c r="N290" s="194"/>
    </row>
    <row r="291" spans="1:14" ht="15.75">
      <c r="A291" s="136">
        <f t="shared" si="21"/>
        <v>52</v>
      </c>
      <c r="B291" s="132" t="s">
        <v>922</v>
      </c>
      <c r="C291" s="197" t="s">
        <v>1029</v>
      </c>
      <c r="D291" s="197">
        <v>105105</v>
      </c>
      <c r="E291" s="31" t="s">
        <v>1034</v>
      </c>
      <c r="F291" s="14">
        <v>52.5</v>
      </c>
      <c r="G291" s="238">
        <v>50</v>
      </c>
      <c r="H291" s="131">
        <v>2.5</v>
      </c>
      <c r="I291" s="14"/>
      <c r="J291" s="18">
        <f>SUM(G291+H291+I291)</f>
        <v>52.5</v>
      </c>
      <c r="K291" s="32"/>
      <c r="L291" s="33">
        <f>+(F291-((SUM(J291+K291))))</f>
        <v>0</v>
      </c>
      <c r="M291" s="215"/>
      <c r="N291" s="6" t="s">
        <v>557</v>
      </c>
    </row>
    <row r="292" spans="1:14" ht="16.5" thickBot="1">
      <c r="A292" s="142"/>
      <c r="B292" s="143"/>
      <c r="C292" s="143"/>
      <c r="D292" s="143"/>
      <c r="E292" s="144"/>
      <c r="F292" s="253">
        <f>SUM(F240:F291)</f>
        <v>7168.05</v>
      </c>
      <c r="G292" s="65">
        <f t="shared" ref="G292:H292" si="25">SUM(G240:G291)</f>
        <v>5139</v>
      </c>
      <c r="H292" s="65">
        <f t="shared" si="25"/>
        <v>263.52</v>
      </c>
      <c r="I292" s="65">
        <f>SUM(I240:I291)</f>
        <v>1556.1200000000001</v>
      </c>
      <c r="J292" s="65">
        <f t="shared" ref="J292" si="26">SUM(J240:J291)</f>
        <v>6958.64</v>
      </c>
      <c r="K292" s="65">
        <f>SUM(K240:K291)</f>
        <v>209.41</v>
      </c>
      <c r="L292" s="65">
        <f t="shared" ref="L292" si="27">SUM(L240:L291)</f>
        <v>2.8421709430404007E-14</v>
      </c>
      <c r="M292" s="219"/>
      <c r="N292" s="6" t="s">
        <v>559</v>
      </c>
    </row>
    <row r="293" spans="1:14" ht="16.5" thickBot="1">
      <c r="A293" s="289"/>
      <c r="B293" s="290" t="s">
        <v>398</v>
      </c>
      <c r="C293" s="291"/>
      <c r="D293" s="291"/>
      <c r="E293" s="292"/>
      <c r="F293" s="293"/>
      <c r="G293" s="292"/>
      <c r="H293" s="292"/>
      <c r="I293" s="292"/>
      <c r="J293" s="292"/>
      <c r="K293" s="292"/>
      <c r="L293" s="292"/>
      <c r="M293" s="294"/>
      <c r="N293" s="6"/>
    </row>
    <row r="294" spans="1:14" ht="15.75">
      <c r="A294" s="285">
        <v>1</v>
      </c>
      <c r="B294" s="145" t="s">
        <v>924</v>
      </c>
      <c r="C294" s="145"/>
      <c r="D294" s="145">
        <v>101766</v>
      </c>
      <c r="E294" s="286" t="s">
        <v>925</v>
      </c>
      <c r="F294" s="256">
        <v>210</v>
      </c>
      <c r="G294" s="287">
        <v>200</v>
      </c>
      <c r="H294" s="288">
        <v>10</v>
      </c>
      <c r="I294" s="256"/>
      <c r="J294" s="46">
        <f t="shared" ref="J294:J299" si="28">SUM(G294+H294+I294)</f>
        <v>210</v>
      </c>
      <c r="K294" s="146"/>
      <c r="L294" s="47">
        <f t="shared" ref="L294:L299" si="29">+(F294-((SUM(J294+K294))))</f>
        <v>0</v>
      </c>
      <c r="M294" s="221"/>
      <c r="N294" s="6"/>
    </row>
    <row r="295" spans="1:14" ht="15.75">
      <c r="A295" s="11">
        <f>1+A294</f>
        <v>2</v>
      </c>
      <c r="B295" s="19" t="s">
        <v>926</v>
      </c>
      <c r="C295" s="19"/>
      <c r="D295" s="19">
        <v>101776</v>
      </c>
      <c r="E295" s="31" t="s">
        <v>927</v>
      </c>
      <c r="F295" s="14">
        <v>52.5</v>
      </c>
      <c r="G295" s="53">
        <v>50</v>
      </c>
      <c r="H295" s="54">
        <v>2.5</v>
      </c>
      <c r="I295" s="14"/>
      <c r="J295" s="18">
        <f t="shared" si="28"/>
        <v>52.5</v>
      </c>
      <c r="K295" s="32"/>
      <c r="L295" s="33">
        <f t="shared" si="29"/>
        <v>0</v>
      </c>
      <c r="M295" s="215"/>
      <c r="N295" s="6"/>
    </row>
    <row r="296" spans="1:14" ht="15.75">
      <c r="A296" s="11">
        <f t="shared" ref="A296:A304" si="30">1+A295</f>
        <v>3</v>
      </c>
      <c r="B296" s="19" t="s">
        <v>399</v>
      </c>
      <c r="C296" s="19"/>
      <c r="D296" s="19">
        <v>101514</v>
      </c>
      <c r="E296" s="31" t="s">
        <v>400</v>
      </c>
      <c r="F296" s="14">
        <v>52.5</v>
      </c>
      <c r="G296" s="74">
        <v>50</v>
      </c>
      <c r="H296" s="75">
        <v>2.5</v>
      </c>
      <c r="I296" s="14"/>
      <c r="J296" s="18">
        <f t="shared" si="28"/>
        <v>52.5</v>
      </c>
      <c r="K296" s="32"/>
      <c r="L296" s="33">
        <f t="shared" si="29"/>
        <v>0</v>
      </c>
      <c r="M296" s="37"/>
      <c r="N296" s="6"/>
    </row>
    <row r="297" spans="1:14" ht="15.75">
      <c r="A297" s="11">
        <f t="shared" si="30"/>
        <v>4</v>
      </c>
      <c r="B297" s="19" t="s">
        <v>411</v>
      </c>
      <c r="C297" s="19"/>
      <c r="D297" s="19">
        <v>101384</v>
      </c>
      <c r="E297" s="31" t="s">
        <v>412</v>
      </c>
      <c r="F297" s="14">
        <v>52.5</v>
      </c>
      <c r="G297" s="74">
        <v>50</v>
      </c>
      <c r="H297" s="75">
        <v>2.5</v>
      </c>
      <c r="I297" s="14"/>
      <c r="J297" s="18">
        <f t="shared" si="28"/>
        <v>52.5</v>
      </c>
      <c r="K297" s="32"/>
      <c r="L297" s="33">
        <f t="shared" si="29"/>
        <v>0</v>
      </c>
      <c r="M297" s="215"/>
      <c r="N297" s="6"/>
    </row>
    <row r="298" spans="1:14" ht="15.75">
      <c r="A298" s="11">
        <f t="shared" si="30"/>
        <v>5</v>
      </c>
      <c r="B298" s="19" t="s">
        <v>931</v>
      </c>
      <c r="C298" s="19"/>
      <c r="D298" s="19">
        <v>101350</v>
      </c>
      <c r="E298" s="31" t="s">
        <v>932</v>
      </c>
      <c r="F298" s="14">
        <v>52.5</v>
      </c>
      <c r="G298" s="20">
        <v>50</v>
      </c>
      <c r="H298" s="21">
        <v>2.5</v>
      </c>
      <c r="I298" s="14"/>
      <c r="J298" s="18">
        <f t="shared" si="28"/>
        <v>52.5</v>
      </c>
      <c r="K298" s="32"/>
      <c r="L298" s="33">
        <f t="shared" si="29"/>
        <v>0</v>
      </c>
      <c r="M298" s="215"/>
      <c r="N298" s="6"/>
    </row>
    <row r="299" spans="1:14" ht="15.75">
      <c r="A299" s="11">
        <f t="shared" si="30"/>
        <v>6</v>
      </c>
      <c r="B299" s="19" t="s">
        <v>933</v>
      </c>
      <c r="C299" s="19"/>
      <c r="D299" s="19">
        <v>101775</v>
      </c>
      <c r="E299" s="31" t="s">
        <v>934</v>
      </c>
      <c r="F299" s="14">
        <v>52.5</v>
      </c>
      <c r="G299" s="53">
        <v>50</v>
      </c>
      <c r="H299" s="54">
        <v>2.5</v>
      </c>
      <c r="I299" s="14"/>
      <c r="J299" s="18">
        <f t="shared" si="28"/>
        <v>52.5</v>
      </c>
      <c r="K299" s="32"/>
      <c r="L299" s="33">
        <f t="shared" si="29"/>
        <v>0</v>
      </c>
      <c r="M299" s="215"/>
      <c r="N299" s="6"/>
    </row>
    <row r="300" spans="1:14" ht="15.75">
      <c r="A300" s="11">
        <f t="shared" si="30"/>
        <v>7</v>
      </c>
      <c r="B300" s="19" t="s">
        <v>937</v>
      </c>
      <c r="C300" s="19"/>
      <c r="D300" s="19">
        <v>101764</v>
      </c>
      <c r="E300" s="31" t="s">
        <v>938</v>
      </c>
      <c r="F300" s="14">
        <v>105</v>
      </c>
      <c r="G300" s="53">
        <v>100</v>
      </c>
      <c r="H300" s="54">
        <v>5</v>
      </c>
      <c r="I300" s="14"/>
      <c r="J300" s="18">
        <f>SUM(G300+H300+I300)</f>
        <v>105</v>
      </c>
      <c r="K300" s="32"/>
      <c r="L300" s="33">
        <f>+(F300-((SUM(J300+K300))))</f>
        <v>0</v>
      </c>
      <c r="M300" s="215"/>
      <c r="N300" s="6"/>
    </row>
    <row r="301" spans="1:14" ht="15.75">
      <c r="A301" s="11">
        <f t="shared" si="30"/>
        <v>8</v>
      </c>
      <c r="B301" s="19" t="s">
        <v>738</v>
      </c>
      <c r="C301" s="19"/>
      <c r="D301" s="19">
        <v>101773</v>
      </c>
      <c r="E301" s="118" t="s">
        <v>739</v>
      </c>
      <c r="F301" s="14">
        <v>52.5</v>
      </c>
      <c r="G301" s="74">
        <v>50</v>
      </c>
      <c r="H301" s="75">
        <v>2.5</v>
      </c>
      <c r="I301" s="14"/>
      <c r="J301" s="18">
        <f t="shared" ref="J301:J302" si="31">SUM(G301+H301+I301)</f>
        <v>52.5</v>
      </c>
      <c r="K301" s="32"/>
      <c r="L301" s="36">
        <f>+(F301-((SUM(J301+K301))))</f>
        <v>0</v>
      </c>
      <c r="M301" s="215"/>
      <c r="N301" s="6"/>
    </row>
    <row r="302" spans="1:14" ht="15.75">
      <c r="A302" s="11">
        <f t="shared" si="30"/>
        <v>9</v>
      </c>
      <c r="B302" s="19" t="s">
        <v>914</v>
      </c>
      <c r="C302" s="19"/>
      <c r="D302" s="19">
        <v>101329</v>
      </c>
      <c r="E302" s="31" t="s">
        <v>915</v>
      </c>
      <c r="F302" s="14">
        <v>52.5</v>
      </c>
      <c r="G302" s="74">
        <v>50</v>
      </c>
      <c r="H302" s="54">
        <v>2.5</v>
      </c>
      <c r="I302" s="14"/>
      <c r="J302" s="18">
        <f t="shared" si="31"/>
        <v>52.5</v>
      </c>
      <c r="K302" s="32"/>
      <c r="L302" s="33">
        <f>+(F302-((SUM(J302+K302))))</f>
        <v>0</v>
      </c>
      <c r="M302" s="215"/>
      <c r="N302" s="6"/>
    </row>
    <row r="303" spans="1:14" ht="15.75">
      <c r="A303" s="11">
        <f t="shared" si="30"/>
        <v>10</v>
      </c>
      <c r="B303" s="132" t="s">
        <v>706</v>
      </c>
      <c r="C303" s="197"/>
      <c r="D303" s="197">
        <v>105067</v>
      </c>
      <c r="E303" s="31" t="s">
        <v>1035</v>
      </c>
      <c r="F303" s="14">
        <v>57.29</v>
      </c>
      <c r="G303" s="238">
        <v>50</v>
      </c>
      <c r="H303" s="131">
        <v>2.5</v>
      </c>
      <c r="I303" s="14">
        <v>4.79</v>
      </c>
      <c r="J303" s="18">
        <f>SUM(G303+H303+I303)</f>
        <v>57.29</v>
      </c>
      <c r="K303" s="32"/>
      <c r="L303" s="33">
        <f>+(F303-((SUM(J303+K303))))</f>
        <v>0</v>
      </c>
      <c r="M303" s="215"/>
      <c r="N303" s="6"/>
    </row>
    <row r="304" spans="1:14" ht="15.75">
      <c r="A304" s="11">
        <f t="shared" si="30"/>
        <v>11</v>
      </c>
      <c r="B304" s="19" t="s">
        <v>935</v>
      </c>
      <c r="C304" s="19"/>
      <c r="D304" s="19">
        <v>101328</v>
      </c>
      <c r="E304" s="31" t="s">
        <v>936</v>
      </c>
      <c r="F304" s="14">
        <v>58.58</v>
      </c>
      <c r="G304" s="20">
        <v>50</v>
      </c>
      <c r="H304" s="21">
        <v>2.5</v>
      </c>
      <c r="I304" s="14">
        <v>6.08</v>
      </c>
      <c r="J304" s="18">
        <f>SUM(G304+H304+I304)</f>
        <v>58.58</v>
      </c>
      <c r="K304" s="82"/>
      <c r="L304" s="83">
        <f>+(F304-((SUM(J304+K304))))</f>
        <v>0</v>
      </c>
      <c r="M304" s="37"/>
      <c r="N304" s="6"/>
    </row>
    <row r="305" spans="1:14" ht="21">
      <c r="A305" s="205"/>
      <c r="B305" s="206"/>
      <c r="C305" s="207"/>
      <c r="D305" s="207"/>
      <c r="E305" s="208" t="s">
        <v>474</v>
      </c>
      <c r="F305" s="263">
        <f>SUM(F237,F292,F294:F304)</f>
        <v>39859.400000000016</v>
      </c>
      <c r="G305" s="263">
        <f>SUM(G237,G292,G294:G304)</f>
        <v>30442.57</v>
      </c>
      <c r="H305" s="209">
        <f t="shared" ref="H305:I305" si="32">SUM(H237,H292,H294:H304)</f>
        <v>1530.33</v>
      </c>
      <c r="I305" s="209">
        <f t="shared" si="32"/>
        <v>7114.37</v>
      </c>
      <c r="J305" s="209">
        <f>SUM(J237,J292,J294:J304)</f>
        <v>39087.270000000011</v>
      </c>
      <c r="K305" s="209">
        <f>SUM(K237,K292,K294:K304)</f>
        <v>772.12999999999988</v>
      </c>
      <c r="L305" s="209">
        <f t="shared" ref="L305" si="33">SUM(L237,L292,L294:L304)</f>
        <v>-1.2789769243681803E-13</v>
      </c>
      <c r="M305" s="222"/>
      <c r="N305" s="6"/>
    </row>
    <row r="306" spans="1:14" ht="15.75">
      <c r="A306" s="7"/>
      <c r="B306" s="7"/>
      <c r="C306" s="8"/>
      <c r="D306" s="8"/>
      <c r="E306" s="129"/>
      <c r="F306" s="258"/>
      <c r="G306" s="4"/>
      <c r="H306" s="4"/>
      <c r="I306" s="258"/>
      <c r="J306" s="4"/>
      <c r="K306" s="4"/>
      <c r="L306" s="9"/>
      <c r="M306" s="223"/>
      <c r="N306" s="6"/>
    </row>
    <row r="307" spans="1:14" ht="15.75">
      <c r="A307" s="7"/>
      <c r="B307" s="7"/>
      <c r="C307" s="8"/>
      <c r="D307" s="8"/>
      <c r="E307" s="129"/>
      <c r="F307" s="258"/>
      <c r="G307" s="4"/>
      <c r="H307" s="4"/>
      <c r="I307" s="258"/>
      <c r="J307" s="4"/>
      <c r="K307" s="4"/>
      <c r="L307" s="9"/>
      <c r="M307" s="223"/>
      <c r="N307" s="6"/>
    </row>
    <row r="308" spans="1:14" ht="15.75">
      <c r="A308" s="7"/>
      <c r="B308" s="7"/>
      <c r="C308" s="8"/>
      <c r="D308" s="8"/>
      <c r="E308" s="128"/>
      <c r="F308" s="258"/>
      <c r="G308" s="81"/>
      <c r="H308" s="81"/>
      <c r="I308" s="258"/>
      <c r="J308" s="4"/>
      <c r="K308" s="4"/>
      <c r="L308" s="9"/>
      <c r="M308" s="223"/>
      <c r="N308" s="5"/>
    </row>
  </sheetData>
  <mergeCells count="2">
    <mergeCell ref="A2:L2"/>
    <mergeCell ref="M3:M4"/>
  </mergeCells>
  <conditionalFormatting sqref="B215:B217">
    <cfRule type="duplicateValues" dxfId="146" priority="7"/>
  </conditionalFormatting>
  <conditionalFormatting sqref="B218:B220">
    <cfRule type="duplicateValues" dxfId="145" priority="5"/>
  </conditionalFormatting>
  <conditionalFormatting sqref="B221:B222">
    <cfRule type="duplicateValues" dxfId="144" priority="9"/>
  </conditionalFormatting>
  <conditionalFormatting sqref="B223:B236">
    <cfRule type="duplicateValues" dxfId="143" priority="11"/>
  </conditionalFormatting>
  <conditionalFormatting sqref="B237:B1048576 B1:B214">
    <cfRule type="duplicateValues" dxfId="142" priority="13"/>
  </conditionalFormatting>
  <conditionalFormatting sqref="D95:D96">
    <cfRule type="duplicateValues" dxfId="141" priority="17"/>
    <cfRule type="duplicateValues" dxfId="140" priority="18"/>
    <cfRule type="duplicateValues" dxfId="139" priority="19"/>
    <cfRule type="duplicateValues" dxfId="138" priority="20"/>
  </conditionalFormatting>
  <conditionalFormatting sqref="E74">
    <cfRule type="duplicateValues" dxfId="137" priority="1"/>
  </conditionalFormatting>
  <conditionalFormatting sqref="E81">
    <cfRule type="duplicateValues" dxfId="136" priority="2"/>
  </conditionalFormatting>
  <conditionalFormatting sqref="E90">
    <cfRule type="duplicateValues" dxfId="135" priority="15"/>
  </conditionalFormatting>
  <conditionalFormatting sqref="E103">
    <cfRule type="duplicateValues" dxfId="134" priority="3"/>
  </conditionalFormatting>
  <conditionalFormatting sqref="E215:E217">
    <cfRule type="duplicateValues" dxfId="133" priority="8"/>
  </conditionalFormatting>
  <conditionalFormatting sqref="E218:E220">
    <cfRule type="duplicateValues" dxfId="132" priority="6"/>
  </conditionalFormatting>
  <conditionalFormatting sqref="E221:E222">
    <cfRule type="duplicateValues" dxfId="131" priority="10"/>
  </conditionalFormatting>
  <conditionalFormatting sqref="E223:E236">
    <cfRule type="duplicateValues" dxfId="130" priority="12"/>
  </conditionalFormatting>
  <conditionalFormatting sqref="E272">
    <cfRule type="duplicateValues" dxfId="129" priority="16"/>
  </conditionalFormatting>
  <conditionalFormatting sqref="E285">
    <cfRule type="duplicateValues" dxfId="128" priority="4"/>
  </conditionalFormatting>
  <conditionalFormatting sqref="E304">
    <cfRule type="duplicateValues" dxfId="127" priority="14"/>
  </conditionalFormatting>
  <conditionalFormatting sqref="E305:E308 E85:E89 E172:E185 E168:E170 E91:E102 E273:E284 E3:E73 E187:E214 E237:E271 E286:E303 E104:E166 E82:E83 E75:E80">
    <cfRule type="duplicateValues" dxfId="126" priority="21"/>
  </conditionalFormatting>
  <pageMargins left="0.25" right="0" top="0.5" bottom="0.5" header="0.3" footer="0.3"/>
  <pageSetup paperSize="9" scale="55" fitToHeight="0" orientation="landscape" horizontalDpi="0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1FDF7-96EB-491C-A49E-8E8666FF1345}">
  <dimension ref="A1:P314"/>
  <sheetViews>
    <sheetView zoomScale="85" zoomScaleNormal="85" workbookViewId="0">
      <pane xSplit="5" ySplit="2" topLeftCell="F73" activePane="bottomRight" state="frozen"/>
      <selection pane="bottomRight" activeCell="B89" sqref="B89"/>
      <selection pane="bottomLeft" activeCell="A3" sqref="A3"/>
      <selection pane="topRight" activeCell="F1" sqref="F1"/>
    </sheetView>
  </sheetViews>
  <sheetFormatPr defaultRowHeight="15"/>
  <cols>
    <col min="2" max="2" width="21.125" customWidth="1"/>
    <col min="3" max="3" width="12.25" customWidth="1"/>
    <col min="4" max="4" width="11.25" style="341" customWidth="1"/>
    <col min="5" max="5" width="24.375" style="242" customWidth="1"/>
    <col min="6" max="6" width="20.625" style="273" customWidth="1"/>
    <col min="7" max="7" width="18.375" customWidth="1"/>
    <col min="8" max="8" width="18.625" customWidth="1"/>
    <col min="9" max="9" width="16.375" style="259" customWidth="1"/>
    <col min="10" max="10" width="20" customWidth="1"/>
    <col min="11" max="11" width="15.875" customWidth="1"/>
    <col min="12" max="12" width="18.875" customWidth="1"/>
    <col min="13" max="13" width="27.75" customWidth="1"/>
  </cols>
  <sheetData>
    <row r="1" spans="1:14" ht="31.5" customHeight="1">
      <c r="A1" s="272"/>
      <c r="B1" s="265"/>
      <c r="C1" s="265"/>
      <c r="D1" s="265"/>
      <c r="E1" s="303"/>
      <c r="F1" s="266"/>
      <c r="G1" s="265"/>
      <c r="H1" s="265"/>
      <c r="I1" s="265"/>
      <c r="J1" s="265"/>
      <c r="K1" s="265"/>
      <c r="L1" s="265"/>
      <c r="M1" s="214" t="s">
        <v>1036</v>
      </c>
      <c r="N1" s="1"/>
    </row>
    <row r="2" spans="1:14" ht="23.25">
      <c r="A2" s="415" t="s">
        <v>1037</v>
      </c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214" t="s">
        <v>462</v>
      </c>
      <c r="N2" s="1"/>
    </row>
    <row r="3" spans="1:14" ht="15.75" customHeight="1">
      <c r="A3" s="329" t="s">
        <v>463</v>
      </c>
      <c r="B3" s="330" t="s">
        <v>464</v>
      </c>
      <c r="C3" s="330"/>
      <c r="D3" s="330"/>
      <c r="E3" s="331" t="s">
        <v>465</v>
      </c>
      <c r="F3" s="332" t="s">
        <v>466</v>
      </c>
      <c r="G3" s="227" t="s">
        <v>467</v>
      </c>
      <c r="H3" s="227"/>
      <c r="I3" s="244"/>
      <c r="J3" s="227"/>
      <c r="K3" s="184" t="s">
        <v>468</v>
      </c>
      <c r="L3" s="260" t="s">
        <v>469</v>
      </c>
      <c r="M3" s="416" t="s">
        <v>470</v>
      </c>
      <c r="N3" s="6"/>
    </row>
    <row r="4" spans="1:14" ht="15.75">
      <c r="A4" s="165"/>
      <c r="B4" s="177"/>
      <c r="C4" s="177"/>
      <c r="D4" s="177"/>
      <c r="E4" s="232"/>
      <c r="F4" s="245"/>
      <c r="G4" s="231" t="s">
        <v>471</v>
      </c>
      <c r="H4" s="231" t="s">
        <v>472</v>
      </c>
      <c r="I4" s="245" t="s">
        <v>473</v>
      </c>
      <c r="J4" s="231" t="s">
        <v>474</v>
      </c>
      <c r="K4" s="175"/>
      <c r="L4" s="261"/>
      <c r="M4" s="417"/>
      <c r="N4" s="6"/>
    </row>
    <row r="5" spans="1:14" ht="15.75">
      <c r="A5" s="165"/>
      <c r="B5" s="177" t="s">
        <v>475</v>
      </c>
      <c r="C5" s="177"/>
      <c r="D5" s="177" t="s">
        <v>476</v>
      </c>
      <c r="E5" s="232" t="s">
        <v>477</v>
      </c>
      <c r="F5" s="246"/>
      <c r="G5" s="230"/>
      <c r="H5" s="230"/>
      <c r="I5" s="246"/>
      <c r="J5" s="230"/>
      <c r="K5" s="230"/>
      <c r="L5" s="230"/>
      <c r="M5" s="233"/>
      <c r="N5" s="6"/>
    </row>
    <row r="6" spans="1:14" ht="15.75">
      <c r="A6" s="164"/>
      <c r="B6" s="234" t="s">
        <v>478</v>
      </c>
      <c r="C6" s="234"/>
      <c r="D6" s="336"/>
      <c r="E6" s="235"/>
      <c r="F6" s="247"/>
      <c r="G6" s="236"/>
      <c r="H6" s="236"/>
      <c r="I6" s="247"/>
      <c r="J6" s="236"/>
      <c r="K6" s="236"/>
      <c r="L6" s="236"/>
      <c r="M6" s="237"/>
      <c r="N6" s="6"/>
    </row>
    <row r="7" spans="1:14" ht="15.75">
      <c r="A7" s="11">
        <v>1</v>
      </c>
      <c r="B7" s="19" t="s">
        <v>479</v>
      </c>
      <c r="C7" s="19"/>
      <c r="D7" s="19"/>
      <c r="E7" s="304" t="s">
        <v>480</v>
      </c>
      <c r="F7" s="14">
        <v>4598.58</v>
      </c>
      <c r="G7" s="74">
        <v>4355</v>
      </c>
      <c r="H7" s="75">
        <v>217.75</v>
      </c>
      <c r="I7" s="14">
        <v>25.83</v>
      </c>
      <c r="J7" s="18">
        <f t="shared" ref="J7:J70" si="0">SUM(G7+H7+I7)</f>
        <v>4598.58</v>
      </c>
      <c r="K7" s="32"/>
      <c r="L7" s="33">
        <f t="shared" ref="L7:L66" si="1">+(F7-((SUM(J7+K7))))</f>
        <v>0</v>
      </c>
      <c r="M7" s="215"/>
      <c r="N7" s="6"/>
    </row>
    <row r="8" spans="1:14" ht="15.75">
      <c r="A8" s="11">
        <f>1+A7</f>
        <v>2</v>
      </c>
      <c r="B8" s="19" t="s">
        <v>481</v>
      </c>
      <c r="C8" s="19"/>
      <c r="D8" s="19"/>
      <c r="E8" s="305" t="s">
        <v>482</v>
      </c>
      <c r="F8" s="14">
        <v>99.75</v>
      </c>
      <c r="G8" s="74">
        <v>95</v>
      </c>
      <c r="H8" s="75">
        <v>4.75</v>
      </c>
      <c r="I8" s="14"/>
      <c r="J8" s="18">
        <f t="shared" si="0"/>
        <v>99.75</v>
      </c>
      <c r="K8" s="32"/>
      <c r="L8" s="33">
        <f t="shared" si="1"/>
        <v>0</v>
      </c>
      <c r="M8" s="215"/>
      <c r="N8" s="6"/>
    </row>
    <row r="9" spans="1:14" ht="15.75">
      <c r="A9" s="11">
        <f t="shared" ref="A9:A72" si="2">1+A8</f>
        <v>3</v>
      </c>
      <c r="B9" s="19" t="s">
        <v>483</v>
      </c>
      <c r="C9" s="19"/>
      <c r="D9" s="19"/>
      <c r="E9" s="305" t="s">
        <v>483</v>
      </c>
      <c r="F9" s="14">
        <v>414.75</v>
      </c>
      <c r="G9" s="74">
        <v>395</v>
      </c>
      <c r="H9" s="75">
        <v>19.75</v>
      </c>
      <c r="I9" s="14"/>
      <c r="J9" s="18">
        <f t="shared" si="0"/>
        <v>414.75</v>
      </c>
      <c r="K9" s="32"/>
      <c r="L9" s="33">
        <f t="shared" si="1"/>
        <v>0</v>
      </c>
      <c r="M9" s="215"/>
      <c r="N9" s="6"/>
    </row>
    <row r="10" spans="1:14" ht="15.75">
      <c r="A10" s="11">
        <f t="shared" si="2"/>
        <v>4</v>
      </c>
      <c r="B10" s="19" t="s">
        <v>484</v>
      </c>
      <c r="C10" s="19"/>
      <c r="D10" s="19"/>
      <c r="E10" s="302" t="s">
        <v>484</v>
      </c>
      <c r="F10" s="14">
        <v>414.75</v>
      </c>
      <c r="G10" s="74">
        <v>395</v>
      </c>
      <c r="H10" s="75">
        <v>19.75</v>
      </c>
      <c r="I10" s="14"/>
      <c r="J10" s="18">
        <f t="shared" si="0"/>
        <v>414.75</v>
      </c>
      <c r="K10" s="32"/>
      <c r="L10" s="33">
        <f t="shared" si="1"/>
        <v>0</v>
      </c>
      <c r="M10" s="215"/>
      <c r="N10" s="6"/>
    </row>
    <row r="11" spans="1:14" ht="15.75">
      <c r="A11" s="11">
        <f t="shared" si="2"/>
        <v>5</v>
      </c>
      <c r="B11" s="19">
        <v>9202729</v>
      </c>
      <c r="C11" s="19"/>
      <c r="D11" s="19"/>
      <c r="E11" s="305" t="s">
        <v>485</v>
      </c>
      <c r="F11" s="14">
        <v>525</v>
      </c>
      <c r="G11" s="74">
        <v>500</v>
      </c>
      <c r="H11" s="75">
        <v>25</v>
      </c>
      <c r="I11" s="14"/>
      <c r="J11" s="18">
        <f t="shared" si="0"/>
        <v>525</v>
      </c>
      <c r="K11" s="32"/>
      <c r="L11" s="33">
        <f t="shared" si="1"/>
        <v>0</v>
      </c>
      <c r="M11" s="215"/>
      <c r="N11" s="6"/>
    </row>
    <row r="12" spans="1:14" ht="15.75">
      <c r="A12" s="11">
        <f t="shared" si="2"/>
        <v>6</v>
      </c>
      <c r="B12" s="19" t="s">
        <v>486</v>
      </c>
      <c r="C12" s="19"/>
      <c r="D12" s="19"/>
      <c r="E12" s="306" t="s">
        <v>132</v>
      </c>
      <c r="F12" s="14">
        <v>210</v>
      </c>
      <c r="G12" s="20">
        <v>200</v>
      </c>
      <c r="H12" s="21">
        <v>10</v>
      </c>
      <c r="I12" s="14"/>
      <c r="J12" s="18">
        <f t="shared" si="0"/>
        <v>210</v>
      </c>
      <c r="K12" s="32"/>
      <c r="L12" s="33">
        <f t="shared" si="1"/>
        <v>0</v>
      </c>
      <c r="M12" s="215"/>
      <c r="N12" s="6"/>
    </row>
    <row r="13" spans="1:14" ht="15.75">
      <c r="A13" s="11">
        <f t="shared" si="2"/>
        <v>7</v>
      </c>
      <c r="B13" s="19" t="s">
        <v>487</v>
      </c>
      <c r="C13" s="19"/>
      <c r="D13" s="19"/>
      <c r="E13" s="306" t="s">
        <v>134</v>
      </c>
      <c r="F13" s="14">
        <v>490.31</v>
      </c>
      <c r="G13" s="20">
        <v>200</v>
      </c>
      <c r="H13" s="21">
        <v>10</v>
      </c>
      <c r="I13" s="14">
        <v>280.31</v>
      </c>
      <c r="J13" s="18">
        <f t="shared" si="0"/>
        <v>490.31</v>
      </c>
      <c r="K13" s="32"/>
      <c r="L13" s="33">
        <f t="shared" si="1"/>
        <v>0</v>
      </c>
      <c r="M13" s="215"/>
      <c r="N13" s="6"/>
    </row>
    <row r="14" spans="1:14" ht="15.75">
      <c r="A14" s="11">
        <f t="shared" si="2"/>
        <v>8</v>
      </c>
      <c r="B14" s="19" t="s">
        <v>488</v>
      </c>
      <c r="C14" s="19"/>
      <c r="D14" s="19"/>
      <c r="E14" s="306" t="s">
        <v>136</v>
      </c>
      <c r="F14" s="14">
        <v>210</v>
      </c>
      <c r="G14" s="20">
        <v>200</v>
      </c>
      <c r="H14" s="21">
        <v>10</v>
      </c>
      <c r="I14" s="14"/>
      <c r="J14" s="18">
        <f t="shared" si="0"/>
        <v>210</v>
      </c>
      <c r="K14" s="32"/>
      <c r="L14" s="33">
        <f t="shared" si="1"/>
        <v>0</v>
      </c>
      <c r="M14" s="215"/>
      <c r="N14" s="6"/>
    </row>
    <row r="15" spans="1:14" ht="15.75">
      <c r="A15" s="11">
        <f t="shared" si="2"/>
        <v>9</v>
      </c>
      <c r="B15" s="19" t="s">
        <v>489</v>
      </c>
      <c r="C15" s="19"/>
      <c r="D15" s="19"/>
      <c r="E15" s="306" t="s">
        <v>138</v>
      </c>
      <c r="F15" s="14">
        <v>210</v>
      </c>
      <c r="G15" s="20">
        <v>200</v>
      </c>
      <c r="H15" s="21">
        <v>10</v>
      </c>
      <c r="I15" s="14"/>
      <c r="J15" s="18">
        <f t="shared" si="0"/>
        <v>210</v>
      </c>
      <c r="K15" s="32"/>
      <c r="L15" s="33">
        <f t="shared" si="1"/>
        <v>0</v>
      </c>
      <c r="M15" s="215"/>
      <c r="N15" s="6"/>
    </row>
    <row r="16" spans="1:14" ht="15.75">
      <c r="A16" s="11">
        <f t="shared" si="2"/>
        <v>10</v>
      </c>
      <c r="B16" s="19" t="s">
        <v>490</v>
      </c>
      <c r="C16" s="19"/>
      <c r="D16" s="19">
        <v>101074</v>
      </c>
      <c r="E16" s="307" t="s">
        <v>79</v>
      </c>
      <c r="F16" s="14">
        <v>691.25</v>
      </c>
      <c r="G16" s="74">
        <v>325</v>
      </c>
      <c r="H16" s="75">
        <v>16.25</v>
      </c>
      <c r="I16" s="14">
        <v>350</v>
      </c>
      <c r="J16" s="18">
        <f t="shared" si="0"/>
        <v>691.25</v>
      </c>
      <c r="K16" s="32"/>
      <c r="L16" s="33">
        <f t="shared" si="1"/>
        <v>0</v>
      </c>
      <c r="M16" s="215"/>
      <c r="N16" s="6"/>
    </row>
    <row r="17" spans="1:16" ht="15.75">
      <c r="A17" s="11">
        <f t="shared" si="2"/>
        <v>11</v>
      </c>
      <c r="B17" s="19" t="s">
        <v>492</v>
      </c>
      <c r="C17" s="19"/>
      <c r="D17" s="19"/>
      <c r="E17" s="305" t="s">
        <v>493</v>
      </c>
      <c r="F17" s="14">
        <v>105</v>
      </c>
      <c r="G17" s="74">
        <v>100</v>
      </c>
      <c r="H17" s="75">
        <v>5</v>
      </c>
      <c r="I17" s="14"/>
      <c r="J17" s="18">
        <f t="shared" si="0"/>
        <v>105</v>
      </c>
      <c r="K17" s="32"/>
      <c r="L17" s="33">
        <f t="shared" si="1"/>
        <v>0</v>
      </c>
      <c r="M17" s="216" t="s">
        <v>494</v>
      </c>
      <c r="N17" s="6"/>
    </row>
    <row r="18" spans="1:16" ht="15.75">
      <c r="A18" s="11">
        <f t="shared" si="2"/>
        <v>12</v>
      </c>
      <c r="B18" s="19" t="s">
        <v>495</v>
      </c>
      <c r="C18" s="19"/>
      <c r="D18" s="19"/>
      <c r="E18" s="305" t="s">
        <v>496</v>
      </c>
      <c r="F18" s="14">
        <v>52.5</v>
      </c>
      <c r="G18" s="74">
        <v>50</v>
      </c>
      <c r="H18" s="75">
        <v>2.5</v>
      </c>
      <c r="I18" s="14"/>
      <c r="J18" s="18">
        <f t="shared" si="0"/>
        <v>52.5</v>
      </c>
      <c r="K18" s="32"/>
      <c r="L18" s="33">
        <f t="shared" si="1"/>
        <v>0</v>
      </c>
      <c r="M18" s="215"/>
      <c r="N18" s="6"/>
    </row>
    <row r="19" spans="1:16" ht="15.75">
      <c r="A19" s="11">
        <f t="shared" si="2"/>
        <v>13</v>
      </c>
      <c r="B19" s="19" t="s">
        <v>497</v>
      </c>
      <c r="C19" s="19" t="s">
        <v>942</v>
      </c>
      <c r="D19" s="19">
        <v>101028</v>
      </c>
      <c r="E19" s="302" t="s">
        <v>498</v>
      </c>
      <c r="F19" s="14">
        <v>203.26</v>
      </c>
      <c r="G19" s="53">
        <v>182.14</v>
      </c>
      <c r="H19" s="54">
        <v>9.68</v>
      </c>
      <c r="I19" s="248">
        <v>11.44</v>
      </c>
      <c r="J19" s="18">
        <f t="shared" si="0"/>
        <v>203.26</v>
      </c>
      <c r="K19" s="61"/>
      <c r="L19" s="33">
        <f t="shared" si="1"/>
        <v>0</v>
      </c>
      <c r="M19" s="215"/>
      <c r="N19" s="6"/>
    </row>
    <row r="20" spans="1:16" ht="15.75">
      <c r="A20" s="11">
        <f t="shared" si="2"/>
        <v>14</v>
      </c>
      <c r="B20" s="19" t="s">
        <v>499</v>
      </c>
      <c r="C20" s="19" t="s">
        <v>942</v>
      </c>
      <c r="D20" s="19">
        <v>101396</v>
      </c>
      <c r="E20" s="302" t="s">
        <v>500</v>
      </c>
      <c r="F20" s="14">
        <v>52.5</v>
      </c>
      <c r="G20" s="74">
        <v>50</v>
      </c>
      <c r="H20" s="75">
        <v>2.5</v>
      </c>
      <c r="I20" s="14"/>
      <c r="J20" s="18">
        <f t="shared" si="0"/>
        <v>52.5</v>
      </c>
      <c r="K20" s="32"/>
      <c r="L20" s="33">
        <f t="shared" si="1"/>
        <v>0</v>
      </c>
      <c r="M20" s="215"/>
      <c r="N20" s="6"/>
    </row>
    <row r="21" spans="1:16" ht="15.75">
      <c r="A21" s="11">
        <f t="shared" si="2"/>
        <v>15</v>
      </c>
      <c r="B21" s="19" t="s">
        <v>501</v>
      </c>
      <c r="C21" s="19" t="s">
        <v>942</v>
      </c>
      <c r="D21" s="19">
        <v>101268</v>
      </c>
      <c r="E21" s="302" t="s">
        <v>93</v>
      </c>
      <c r="F21" s="14">
        <v>52.5</v>
      </c>
      <c r="G21" s="74">
        <v>50</v>
      </c>
      <c r="H21" s="75">
        <v>2.5</v>
      </c>
      <c r="I21" s="14"/>
      <c r="J21" s="18">
        <f t="shared" si="0"/>
        <v>52.5</v>
      </c>
      <c r="K21" s="32"/>
      <c r="L21" s="33">
        <f t="shared" si="1"/>
        <v>0</v>
      </c>
      <c r="M21" s="215"/>
      <c r="N21" s="6"/>
    </row>
    <row r="22" spans="1:16" ht="15.75">
      <c r="A22" s="11">
        <f t="shared" si="2"/>
        <v>16</v>
      </c>
      <c r="B22" s="19" t="s">
        <v>416</v>
      </c>
      <c r="C22" s="19" t="s">
        <v>942</v>
      </c>
      <c r="D22" s="19">
        <v>101611</v>
      </c>
      <c r="E22" s="305" t="s">
        <v>321</v>
      </c>
      <c r="F22" s="14">
        <v>52.5</v>
      </c>
      <c r="G22" s="20">
        <v>50</v>
      </c>
      <c r="H22" s="21">
        <v>2.5</v>
      </c>
      <c r="I22" s="62"/>
      <c r="J22" s="18">
        <f t="shared" si="0"/>
        <v>52.5</v>
      </c>
      <c r="K22" s="32"/>
      <c r="L22" s="33">
        <f t="shared" si="1"/>
        <v>0</v>
      </c>
      <c r="M22" s="215"/>
      <c r="N22" s="6"/>
    </row>
    <row r="23" spans="1:16" ht="15.75">
      <c r="A23" s="11">
        <f t="shared" si="2"/>
        <v>17</v>
      </c>
      <c r="B23" s="19" t="s">
        <v>502</v>
      </c>
      <c r="C23" s="19" t="s">
        <v>942</v>
      </c>
      <c r="D23" s="19">
        <v>101806</v>
      </c>
      <c r="E23" s="302" t="s">
        <v>503</v>
      </c>
      <c r="F23" s="14">
        <v>52.5</v>
      </c>
      <c r="G23" s="74">
        <v>50</v>
      </c>
      <c r="H23" s="54">
        <v>2.5</v>
      </c>
      <c r="I23" s="14"/>
      <c r="J23" s="18">
        <f t="shared" si="0"/>
        <v>52.5</v>
      </c>
      <c r="K23" s="32"/>
      <c r="L23" s="33">
        <f t="shared" si="1"/>
        <v>0</v>
      </c>
      <c r="M23" s="215"/>
      <c r="N23" s="6"/>
    </row>
    <row r="24" spans="1:16" ht="15.75">
      <c r="A24" s="11">
        <f t="shared" si="2"/>
        <v>18</v>
      </c>
      <c r="B24" s="19" t="s">
        <v>505</v>
      </c>
      <c r="C24" s="19" t="s">
        <v>942</v>
      </c>
      <c r="D24" s="19">
        <v>101849</v>
      </c>
      <c r="E24" s="302" t="s">
        <v>506</v>
      </c>
      <c r="F24" s="14">
        <v>52.5</v>
      </c>
      <c r="G24" s="20">
        <v>50</v>
      </c>
      <c r="H24" s="21">
        <v>2.5</v>
      </c>
      <c r="I24" s="248"/>
      <c r="J24" s="18">
        <f t="shared" si="0"/>
        <v>52.5</v>
      </c>
      <c r="K24" s="32"/>
      <c r="L24" s="33">
        <f t="shared" si="1"/>
        <v>0</v>
      </c>
      <c r="M24" s="215"/>
      <c r="N24" s="6"/>
    </row>
    <row r="25" spans="1:16" ht="15.75">
      <c r="A25" s="11">
        <f t="shared" si="2"/>
        <v>19</v>
      </c>
      <c r="B25" s="19" t="s">
        <v>943</v>
      </c>
      <c r="C25" s="19" t="s">
        <v>942</v>
      </c>
      <c r="D25" s="19">
        <v>105208</v>
      </c>
      <c r="E25" s="302" t="s">
        <v>944</v>
      </c>
      <c r="F25" s="14">
        <v>52.5</v>
      </c>
      <c r="G25" s="56">
        <v>50</v>
      </c>
      <c r="H25" s="21">
        <v>2.5</v>
      </c>
      <c r="I25" s="147"/>
      <c r="J25" s="18">
        <f>SUM(G25+H25+I25)</f>
        <v>52.5</v>
      </c>
      <c r="K25" s="41"/>
      <c r="L25" s="85">
        <f>+(F25-((SUM(J25+K25))))</f>
        <v>0</v>
      </c>
      <c r="M25" s="218"/>
      <c r="N25" s="6"/>
    </row>
    <row r="26" spans="1:16" ht="15.75">
      <c r="A26" s="11">
        <f t="shared" si="2"/>
        <v>20</v>
      </c>
      <c r="B26" s="55" t="s">
        <v>945</v>
      </c>
      <c r="C26" s="55" t="s">
        <v>942</v>
      </c>
      <c r="D26" s="55">
        <v>105165</v>
      </c>
      <c r="E26" s="302" t="s">
        <v>946</v>
      </c>
      <c r="F26" s="147">
        <v>52.5</v>
      </c>
      <c r="G26" s="56">
        <v>50</v>
      </c>
      <c r="H26" s="21">
        <v>2.5</v>
      </c>
      <c r="I26" s="147"/>
      <c r="J26" s="18">
        <f>SUM(G26+H26+I26)</f>
        <v>52.5</v>
      </c>
      <c r="K26" s="41"/>
      <c r="L26" s="85">
        <f>+(F26-((SUM(J26+K26))))</f>
        <v>0</v>
      </c>
      <c r="M26" s="37"/>
      <c r="N26" s="40"/>
    </row>
    <row r="27" spans="1:16" ht="15.75">
      <c r="A27" s="11">
        <f t="shared" si="2"/>
        <v>21</v>
      </c>
      <c r="B27" s="19" t="s">
        <v>421</v>
      </c>
      <c r="C27" s="19" t="s">
        <v>942</v>
      </c>
      <c r="D27" s="19">
        <v>101555</v>
      </c>
      <c r="E27" s="302" t="s">
        <v>422</v>
      </c>
      <c r="F27" s="14">
        <v>105</v>
      </c>
      <c r="G27" s="74">
        <v>100</v>
      </c>
      <c r="H27" s="75">
        <v>5</v>
      </c>
      <c r="I27" s="14"/>
      <c r="J27" s="18">
        <f t="shared" si="0"/>
        <v>105</v>
      </c>
      <c r="K27" s="32"/>
      <c r="L27" s="33">
        <f t="shared" si="1"/>
        <v>0</v>
      </c>
      <c r="M27" s="215"/>
      <c r="N27" s="59" t="s">
        <v>525</v>
      </c>
    </row>
    <row r="28" spans="1:16" ht="15.75">
      <c r="A28" s="11">
        <f t="shared" si="2"/>
        <v>22</v>
      </c>
      <c r="B28" s="19" t="s">
        <v>507</v>
      </c>
      <c r="C28" s="19" t="s">
        <v>942</v>
      </c>
      <c r="D28" s="19">
        <v>101412</v>
      </c>
      <c r="E28" s="302" t="s">
        <v>183</v>
      </c>
      <c r="F28" s="14">
        <v>52.5</v>
      </c>
      <c r="G28" s="20">
        <v>50</v>
      </c>
      <c r="H28" s="21">
        <v>2.5</v>
      </c>
      <c r="I28" s="14"/>
      <c r="J28" s="18">
        <f t="shared" si="0"/>
        <v>52.5</v>
      </c>
      <c r="K28" s="32"/>
      <c r="L28" s="33">
        <f t="shared" si="1"/>
        <v>0</v>
      </c>
      <c r="M28" s="215"/>
      <c r="N28" s="60" t="s">
        <v>79</v>
      </c>
    </row>
    <row r="29" spans="1:16" ht="15.75">
      <c r="A29" s="11">
        <f t="shared" si="2"/>
        <v>23</v>
      </c>
      <c r="B29" s="19" t="s">
        <v>508</v>
      </c>
      <c r="C29" s="19" t="s">
        <v>942</v>
      </c>
      <c r="D29" s="19">
        <v>101057</v>
      </c>
      <c r="E29" s="305" t="s">
        <v>86</v>
      </c>
      <c r="F29" s="14">
        <v>52.5</v>
      </c>
      <c r="G29" s="74">
        <v>50</v>
      </c>
      <c r="H29" s="75">
        <v>2.5</v>
      </c>
      <c r="I29" s="14"/>
      <c r="J29" s="18">
        <f t="shared" si="0"/>
        <v>52.5</v>
      </c>
      <c r="K29" s="32"/>
      <c r="L29" s="33">
        <f t="shared" si="1"/>
        <v>0</v>
      </c>
      <c r="M29" s="215"/>
      <c r="N29" s="40"/>
    </row>
    <row r="30" spans="1:16" ht="15.75">
      <c r="A30" s="11">
        <f t="shared" si="2"/>
        <v>24</v>
      </c>
      <c r="B30" s="19" t="s">
        <v>509</v>
      </c>
      <c r="C30" s="19" t="s">
        <v>942</v>
      </c>
      <c r="D30" s="19">
        <v>101208</v>
      </c>
      <c r="E30" s="302" t="s">
        <v>510</v>
      </c>
      <c r="F30" s="14">
        <v>105</v>
      </c>
      <c r="G30" s="74">
        <v>100</v>
      </c>
      <c r="H30" s="75">
        <v>5</v>
      </c>
      <c r="I30" s="14"/>
      <c r="J30" s="18">
        <f t="shared" si="0"/>
        <v>105</v>
      </c>
      <c r="K30" s="32"/>
      <c r="L30" s="33">
        <f t="shared" si="1"/>
        <v>0</v>
      </c>
      <c r="M30" s="215"/>
      <c r="N30" s="40"/>
      <c r="P30" s="242"/>
    </row>
    <row r="31" spans="1:16" ht="15.75">
      <c r="A31" s="11">
        <f t="shared" si="2"/>
        <v>25</v>
      </c>
      <c r="B31" s="19" t="s">
        <v>511</v>
      </c>
      <c r="C31" s="19" t="s">
        <v>942</v>
      </c>
      <c r="D31" s="19">
        <v>101630</v>
      </c>
      <c r="E31" s="305" t="s">
        <v>512</v>
      </c>
      <c r="F31" s="14">
        <v>52.5</v>
      </c>
      <c r="G31" s="74">
        <v>50</v>
      </c>
      <c r="H31" s="75">
        <v>2.5</v>
      </c>
      <c r="I31" s="14"/>
      <c r="J31" s="18">
        <f t="shared" si="0"/>
        <v>52.5</v>
      </c>
      <c r="K31" s="32"/>
      <c r="L31" s="33">
        <f t="shared" si="1"/>
        <v>0</v>
      </c>
      <c r="M31" s="215"/>
      <c r="N31" s="40"/>
    </row>
    <row r="32" spans="1:16" ht="15.75">
      <c r="A32" s="11">
        <f t="shared" si="2"/>
        <v>26</v>
      </c>
      <c r="B32" s="19" t="s">
        <v>413</v>
      </c>
      <c r="C32" s="19" t="s">
        <v>942</v>
      </c>
      <c r="D32" s="19">
        <v>101754</v>
      </c>
      <c r="E32" s="302" t="s">
        <v>513</v>
      </c>
      <c r="F32" s="14">
        <v>52.5</v>
      </c>
      <c r="G32" s="74">
        <v>50</v>
      </c>
      <c r="H32" s="75">
        <v>2.5</v>
      </c>
      <c r="I32" s="14"/>
      <c r="J32" s="18">
        <f t="shared" si="0"/>
        <v>52.5</v>
      </c>
      <c r="K32" s="32"/>
      <c r="L32" s="33">
        <f t="shared" si="1"/>
        <v>0</v>
      </c>
      <c r="M32" s="215"/>
      <c r="N32" s="40"/>
    </row>
    <row r="33" spans="1:14" ht="15.75">
      <c r="A33" s="11">
        <f t="shared" si="2"/>
        <v>27</v>
      </c>
      <c r="B33" s="19" t="s">
        <v>515</v>
      </c>
      <c r="C33" s="19" t="s">
        <v>942</v>
      </c>
      <c r="D33" s="19">
        <v>101786</v>
      </c>
      <c r="E33" s="305" t="s">
        <v>516</v>
      </c>
      <c r="F33" s="14">
        <v>52.5</v>
      </c>
      <c r="G33" s="74">
        <v>50</v>
      </c>
      <c r="H33" s="75">
        <v>2.5</v>
      </c>
      <c r="I33" s="14"/>
      <c r="J33" s="18">
        <f t="shared" si="0"/>
        <v>52.5</v>
      </c>
      <c r="K33" s="32"/>
      <c r="L33" s="33">
        <f t="shared" si="1"/>
        <v>0</v>
      </c>
      <c r="M33" s="37"/>
      <c r="N33" s="195"/>
    </row>
    <row r="34" spans="1:14" ht="15.75">
      <c r="A34" s="11">
        <f t="shared" si="2"/>
        <v>28</v>
      </c>
      <c r="B34" s="19" t="s">
        <v>900</v>
      </c>
      <c r="C34" s="19" t="s">
        <v>942</v>
      </c>
      <c r="D34" s="19">
        <v>101755</v>
      </c>
      <c r="E34" s="302" t="s">
        <v>901</v>
      </c>
      <c r="F34" s="14">
        <v>52.5</v>
      </c>
      <c r="G34" s="74">
        <v>50</v>
      </c>
      <c r="H34" s="54">
        <v>2.5</v>
      </c>
      <c r="I34" s="14"/>
      <c r="J34" s="18">
        <f t="shared" si="0"/>
        <v>52.5</v>
      </c>
      <c r="K34" s="32"/>
      <c r="L34" s="33">
        <f>+(F34-((SUM(J34+K34))))</f>
        <v>0</v>
      </c>
      <c r="M34" s="37"/>
      <c r="N34" s="194"/>
    </row>
    <row r="35" spans="1:14" ht="15.75">
      <c r="A35" s="11">
        <f t="shared" si="2"/>
        <v>29</v>
      </c>
      <c r="B35" s="19" t="s">
        <v>948</v>
      </c>
      <c r="C35" s="19" t="s">
        <v>942</v>
      </c>
      <c r="D35" s="19">
        <v>105127</v>
      </c>
      <c r="E35" s="302" t="s">
        <v>949</v>
      </c>
      <c r="F35" s="14">
        <v>52.5</v>
      </c>
      <c r="G35" s="20">
        <v>50</v>
      </c>
      <c r="H35" s="21">
        <v>2.5</v>
      </c>
      <c r="I35" s="14"/>
      <c r="J35" s="18">
        <f>SUM(G35+H35+I35)</f>
        <v>52.5</v>
      </c>
      <c r="K35" s="32"/>
      <c r="L35" s="33">
        <f>+(F35-((SUM(J35+K35))))</f>
        <v>0</v>
      </c>
      <c r="M35" s="218"/>
      <c r="N35" s="6" t="s">
        <v>539</v>
      </c>
    </row>
    <row r="36" spans="1:14" ht="15.75">
      <c r="A36" s="11">
        <f t="shared" si="2"/>
        <v>30</v>
      </c>
      <c r="B36" s="55" t="s">
        <v>950</v>
      </c>
      <c r="C36" s="55" t="s">
        <v>942</v>
      </c>
      <c r="D36" s="55">
        <v>105164</v>
      </c>
      <c r="E36" s="302" t="s">
        <v>951</v>
      </c>
      <c r="F36" s="147">
        <v>52.5</v>
      </c>
      <c r="G36" s="56">
        <v>50</v>
      </c>
      <c r="H36" s="21">
        <v>2.5</v>
      </c>
      <c r="I36" s="147"/>
      <c r="J36" s="18">
        <f>SUM(G36+H36+I36)</f>
        <v>52.5</v>
      </c>
      <c r="K36" s="41"/>
      <c r="L36" s="85">
        <f>+(F36-((SUM(J36+K36))))</f>
        <v>0</v>
      </c>
      <c r="M36" s="218"/>
      <c r="N36" s="6" t="s">
        <v>542</v>
      </c>
    </row>
    <row r="37" spans="1:14" ht="15.75">
      <c r="A37" s="11">
        <f t="shared" si="2"/>
        <v>31</v>
      </c>
      <c r="B37" s="19" t="s">
        <v>517</v>
      </c>
      <c r="C37" s="19"/>
      <c r="D37" s="19"/>
      <c r="E37" s="302" t="s">
        <v>153</v>
      </c>
      <c r="F37" s="14">
        <v>52.5</v>
      </c>
      <c r="G37" s="20">
        <v>50</v>
      </c>
      <c r="H37" s="21">
        <v>2.5</v>
      </c>
      <c r="I37" s="14"/>
      <c r="J37" s="18">
        <f t="shared" si="0"/>
        <v>52.5</v>
      </c>
      <c r="K37" s="32"/>
      <c r="L37" s="33">
        <f t="shared" si="1"/>
        <v>0</v>
      </c>
      <c r="M37" s="215"/>
      <c r="N37" s="40"/>
    </row>
    <row r="38" spans="1:14" ht="15.75">
      <c r="A38" s="11">
        <f t="shared" si="2"/>
        <v>32</v>
      </c>
      <c r="B38" s="19" t="s">
        <v>403</v>
      </c>
      <c r="C38" s="19"/>
      <c r="D38" s="19"/>
      <c r="E38" s="302" t="s">
        <v>518</v>
      </c>
      <c r="F38" s="14">
        <v>52.5</v>
      </c>
      <c r="G38" s="20">
        <v>50</v>
      </c>
      <c r="H38" s="21">
        <v>2.5</v>
      </c>
      <c r="I38" s="14"/>
      <c r="J38" s="18">
        <f t="shared" si="0"/>
        <v>52.5</v>
      </c>
      <c r="K38" s="32"/>
      <c r="L38" s="33">
        <f t="shared" si="1"/>
        <v>0</v>
      </c>
      <c r="M38" s="215"/>
      <c r="N38" s="40"/>
    </row>
    <row r="39" spans="1:14" ht="15.75">
      <c r="A39" s="11">
        <f t="shared" si="2"/>
        <v>33</v>
      </c>
      <c r="B39" s="132" t="s">
        <v>519</v>
      </c>
      <c r="C39" s="197"/>
      <c r="D39" s="197"/>
      <c r="E39" s="302" t="s">
        <v>520</v>
      </c>
      <c r="F39" s="14">
        <v>52.5</v>
      </c>
      <c r="G39" s="238">
        <v>50</v>
      </c>
      <c r="H39" s="131">
        <v>2.5</v>
      </c>
      <c r="I39" s="14"/>
      <c r="J39" s="18">
        <f t="shared" si="0"/>
        <v>52.5</v>
      </c>
      <c r="K39" s="32"/>
      <c r="L39" s="33">
        <f t="shared" si="1"/>
        <v>0</v>
      </c>
      <c r="M39" s="215"/>
      <c r="N39" s="40"/>
    </row>
    <row r="40" spans="1:14" ht="15.75">
      <c r="A40" s="11">
        <f t="shared" si="2"/>
        <v>34</v>
      </c>
      <c r="B40" s="19" t="s">
        <v>523</v>
      </c>
      <c r="C40" s="19" t="s">
        <v>942</v>
      </c>
      <c r="D40" s="19">
        <v>101798</v>
      </c>
      <c r="E40" s="302" t="s">
        <v>524</v>
      </c>
      <c r="F40" s="14">
        <v>105</v>
      </c>
      <c r="G40" s="74">
        <v>100</v>
      </c>
      <c r="H40" s="54">
        <v>5</v>
      </c>
      <c r="I40" s="14"/>
      <c r="J40" s="18">
        <f t="shared" si="0"/>
        <v>105</v>
      </c>
      <c r="K40" s="32"/>
      <c r="L40" s="33">
        <f t="shared" si="1"/>
        <v>0</v>
      </c>
      <c r="M40" s="215"/>
      <c r="N40" s="195"/>
    </row>
    <row r="41" spans="1:14" ht="15.75">
      <c r="A41" s="11">
        <f t="shared" si="2"/>
        <v>35</v>
      </c>
      <c r="B41" s="19" t="s">
        <v>526</v>
      </c>
      <c r="C41" s="19" t="s">
        <v>942</v>
      </c>
      <c r="D41" s="19">
        <v>101859</v>
      </c>
      <c r="E41" s="305" t="s">
        <v>74</v>
      </c>
      <c r="F41" s="14">
        <v>60</v>
      </c>
      <c r="G41" s="74">
        <v>57.14</v>
      </c>
      <c r="H41" s="75">
        <v>2.86</v>
      </c>
      <c r="I41" s="14"/>
      <c r="J41" s="18">
        <f t="shared" si="0"/>
        <v>60</v>
      </c>
      <c r="K41" s="32"/>
      <c r="L41" s="33">
        <f t="shared" si="1"/>
        <v>0</v>
      </c>
      <c r="M41" s="215"/>
      <c r="N41" s="194"/>
    </row>
    <row r="42" spans="1:14" ht="15.75">
      <c r="A42" s="11">
        <f t="shared" si="2"/>
        <v>36</v>
      </c>
      <c r="B42" s="19" t="s">
        <v>527</v>
      </c>
      <c r="C42" s="19" t="s">
        <v>942</v>
      </c>
      <c r="D42" s="19">
        <v>101564</v>
      </c>
      <c r="E42" s="302" t="s">
        <v>528</v>
      </c>
      <c r="F42" s="14">
        <v>210</v>
      </c>
      <c r="G42" s="74">
        <v>200</v>
      </c>
      <c r="H42" s="75">
        <v>10</v>
      </c>
      <c r="I42" s="14"/>
      <c r="J42" s="18">
        <f t="shared" si="0"/>
        <v>210</v>
      </c>
      <c r="K42" s="32"/>
      <c r="L42" s="33">
        <f t="shared" si="1"/>
        <v>0</v>
      </c>
      <c r="M42" s="215"/>
      <c r="N42" s="6" t="s">
        <v>557</v>
      </c>
    </row>
    <row r="43" spans="1:14" ht="15.75">
      <c r="A43" s="11">
        <f t="shared" si="2"/>
        <v>37</v>
      </c>
      <c r="B43" s="19" t="s">
        <v>529</v>
      </c>
      <c r="C43" s="19" t="s">
        <v>942</v>
      </c>
      <c r="D43" s="19">
        <v>101748</v>
      </c>
      <c r="E43" s="302" t="s">
        <v>530</v>
      </c>
      <c r="F43" s="14">
        <v>52.5</v>
      </c>
      <c r="G43" s="74">
        <v>50</v>
      </c>
      <c r="H43" s="75">
        <v>2.5</v>
      </c>
      <c r="I43" s="14"/>
      <c r="J43" s="18">
        <f t="shared" si="0"/>
        <v>52.5</v>
      </c>
      <c r="K43" s="32"/>
      <c r="L43" s="33">
        <f t="shared" si="1"/>
        <v>0</v>
      </c>
      <c r="M43" s="215"/>
      <c r="N43" s="6" t="s">
        <v>559</v>
      </c>
    </row>
    <row r="44" spans="1:14" ht="15.75">
      <c r="A44" s="11">
        <f t="shared" si="2"/>
        <v>38</v>
      </c>
      <c r="B44" s="19" t="s">
        <v>531</v>
      </c>
      <c r="C44" s="19" t="s">
        <v>942</v>
      </c>
      <c r="D44" s="19">
        <v>101608</v>
      </c>
      <c r="E44" s="305" t="s">
        <v>532</v>
      </c>
      <c r="F44" s="14">
        <v>138.75</v>
      </c>
      <c r="G44" s="74">
        <v>132.13999999999999</v>
      </c>
      <c r="H44" s="75">
        <v>6.61</v>
      </c>
      <c r="I44" s="14"/>
      <c r="J44" s="18">
        <f t="shared" si="0"/>
        <v>138.75</v>
      </c>
      <c r="K44" s="32"/>
      <c r="L44" s="33">
        <f t="shared" si="1"/>
        <v>0</v>
      </c>
      <c r="M44" s="215"/>
      <c r="N44" s="6"/>
    </row>
    <row r="45" spans="1:14" ht="15.75">
      <c r="A45" s="11">
        <f t="shared" si="2"/>
        <v>39</v>
      </c>
      <c r="B45" s="19" t="s">
        <v>533</v>
      </c>
      <c r="C45" s="19" t="s">
        <v>942</v>
      </c>
      <c r="D45" s="19">
        <v>101845</v>
      </c>
      <c r="E45" s="302" t="s">
        <v>534</v>
      </c>
      <c r="F45" s="14">
        <v>228.49</v>
      </c>
      <c r="G45" s="53">
        <v>200</v>
      </c>
      <c r="H45" s="54">
        <v>10</v>
      </c>
      <c r="I45" s="14">
        <v>18.489999999999998</v>
      </c>
      <c r="J45" s="18">
        <f t="shared" si="0"/>
        <v>228.49</v>
      </c>
      <c r="K45" s="32"/>
      <c r="L45" s="33">
        <f t="shared" si="1"/>
        <v>0</v>
      </c>
      <c r="M45" s="215"/>
    </row>
    <row r="46" spans="1:14" ht="15.75">
      <c r="A46" s="11">
        <f t="shared" si="2"/>
        <v>40</v>
      </c>
      <c r="B46" s="19" t="s">
        <v>535</v>
      </c>
      <c r="C46" s="19" t="s">
        <v>942</v>
      </c>
      <c r="D46" s="19">
        <v>101022</v>
      </c>
      <c r="E46" s="302" t="s">
        <v>185</v>
      </c>
      <c r="F46" s="14">
        <v>120.89</v>
      </c>
      <c r="G46" s="20">
        <v>100</v>
      </c>
      <c r="H46" s="21">
        <v>5</v>
      </c>
      <c r="I46" s="14">
        <v>15.89</v>
      </c>
      <c r="J46" s="18">
        <f t="shared" si="0"/>
        <v>120.89</v>
      </c>
      <c r="K46" s="32"/>
      <c r="L46" s="33">
        <f t="shared" si="1"/>
        <v>0</v>
      </c>
      <c r="M46" s="215"/>
    </row>
    <row r="47" spans="1:14" ht="15.75">
      <c r="A47" s="11">
        <f t="shared" si="2"/>
        <v>41</v>
      </c>
      <c r="B47" s="19" t="s">
        <v>536</v>
      </c>
      <c r="C47" s="19" t="s">
        <v>942</v>
      </c>
      <c r="D47" s="19">
        <v>101864</v>
      </c>
      <c r="E47" s="302" t="s">
        <v>537</v>
      </c>
      <c r="F47" s="14">
        <v>52.5</v>
      </c>
      <c r="G47" s="74">
        <v>50</v>
      </c>
      <c r="H47" s="75">
        <v>2.5</v>
      </c>
      <c r="I47" s="14"/>
      <c r="J47" s="18">
        <f t="shared" si="0"/>
        <v>52.5</v>
      </c>
      <c r="K47" s="32"/>
      <c r="L47" s="33">
        <f t="shared" si="1"/>
        <v>0</v>
      </c>
      <c r="M47" s="215"/>
    </row>
    <row r="48" spans="1:14" ht="15.75">
      <c r="A48" s="11">
        <f t="shared" si="2"/>
        <v>42</v>
      </c>
      <c r="B48" s="19" t="s">
        <v>538</v>
      </c>
      <c r="C48" s="19" t="s">
        <v>942</v>
      </c>
      <c r="D48" s="19">
        <v>101429</v>
      </c>
      <c r="E48" s="302" t="s">
        <v>165</v>
      </c>
      <c r="F48" s="14">
        <v>52.5</v>
      </c>
      <c r="G48" s="20">
        <v>50</v>
      </c>
      <c r="H48" s="21">
        <v>2.5</v>
      </c>
      <c r="I48" s="14"/>
      <c r="J48" s="18">
        <f t="shared" si="0"/>
        <v>52.5</v>
      </c>
      <c r="K48" s="32"/>
      <c r="L48" s="33">
        <f t="shared" si="1"/>
        <v>0</v>
      </c>
      <c r="M48" s="215"/>
    </row>
    <row r="49" spans="1:14" ht="15.75">
      <c r="A49" s="11">
        <f t="shared" si="2"/>
        <v>43</v>
      </c>
      <c r="B49" s="19" t="s">
        <v>540</v>
      </c>
      <c r="C49" s="19" t="s">
        <v>942</v>
      </c>
      <c r="D49" s="19">
        <v>101790</v>
      </c>
      <c r="E49" s="302" t="s">
        <v>541</v>
      </c>
      <c r="F49" s="14">
        <v>52.5</v>
      </c>
      <c r="G49" s="74">
        <v>50</v>
      </c>
      <c r="H49" s="54">
        <v>2.5</v>
      </c>
      <c r="I49" s="14"/>
      <c r="J49" s="18">
        <f t="shared" si="0"/>
        <v>52.5</v>
      </c>
      <c r="K49" s="32"/>
      <c r="L49" s="33">
        <f t="shared" si="1"/>
        <v>0</v>
      </c>
      <c r="M49" s="37"/>
    </row>
    <row r="50" spans="1:14" ht="15.75">
      <c r="A50" s="11">
        <f t="shared" si="2"/>
        <v>44</v>
      </c>
      <c r="B50" s="19" t="s">
        <v>545</v>
      </c>
      <c r="C50" s="19" t="s">
        <v>942</v>
      </c>
      <c r="D50" s="19">
        <v>101848</v>
      </c>
      <c r="E50" s="305" t="s">
        <v>546</v>
      </c>
      <c r="F50" s="14">
        <v>63.76</v>
      </c>
      <c r="G50" s="74">
        <v>50</v>
      </c>
      <c r="H50" s="75">
        <v>2.5</v>
      </c>
      <c r="I50" s="14">
        <v>11.26</v>
      </c>
      <c r="J50" s="18">
        <f t="shared" si="0"/>
        <v>63.76</v>
      </c>
      <c r="K50" s="32"/>
      <c r="L50" s="33">
        <f t="shared" si="1"/>
        <v>0</v>
      </c>
      <c r="M50" s="215"/>
    </row>
    <row r="51" spans="1:14" ht="15.75">
      <c r="A51" s="11">
        <f t="shared" si="2"/>
        <v>45</v>
      </c>
      <c r="B51" s="19" t="s">
        <v>547</v>
      </c>
      <c r="C51" s="19" t="s">
        <v>942</v>
      </c>
      <c r="D51" s="19">
        <v>101567</v>
      </c>
      <c r="E51" s="302" t="s">
        <v>548</v>
      </c>
      <c r="F51" s="14">
        <v>52.5</v>
      </c>
      <c r="G51" s="20">
        <v>50</v>
      </c>
      <c r="H51" s="21">
        <v>2.5</v>
      </c>
      <c r="I51" s="14"/>
      <c r="J51" s="18">
        <f t="shared" si="0"/>
        <v>52.5</v>
      </c>
      <c r="K51" s="32"/>
      <c r="L51" s="33">
        <f t="shared" si="1"/>
        <v>0</v>
      </c>
      <c r="M51" s="37"/>
    </row>
    <row r="52" spans="1:14" ht="15.75">
      <c r="A52" s="11">
        <f t="shared" si="2"/>
        <v>46</v>
      </c>
      <c r="B52" s="19" t="s">
        <v>549</v>
      </c>
      <c r="C52" s="19" t="s">
        <v>942</v>
      </c>
      <c r="D52" s="19">
        <v>101739</v>
      </c>
      <c r="E52" s="305" t="s">
        <v>550</v>
      </c>
      <c r="F52" s="14">
        <v>52.5</v>
      </c>
      <c r="G52" s="74">
        <v>50</v>
      </c>
      <c r="H52" s="75">
        <v>2.5</v>
      </c>
      <c r="I52" s="14"/>
      <c r="J52" s="18">
        <f t="shared" si="0"/>
        <v>52.5</v>
      </c>
      <c r="K52" s="32"/>
      <c r="L52" s="33">
        <f t="shared" si="1"/>
        <v>0</v>
      </c>
      <c r="M52" s="215"/>
    </row>
    <row r="53" spans="1:14" ht="15.75">
      <c r="A53" s="11">
        <f t="shared" si="2"/>
        <v>47</v>
      </c>
      <c r="B53" s="19" t="s">
        <v>551</v>
      </c>
      <c r="C53" s="19" t="s">
        <v>942</v>
      </c>
      <c r="D53" s="19">
        <v>101872</v>
      </c>
      <c r="E53" s="305" t="s">
        <v>552</v>
      </c>
      <c r="F53" s="14">
        <v>52.5</v>
      </c>
      <c r="G53" s="74">
        <v>50</v>
      </c>
      <c r="H53" s="75">
        <v>2.5</v>
      </c>
      <c r="I53" s="14"/>
      <c r="J53" s="18">
        <f t="shared" si="0"/>
        <v>52.5</v>
      </c>
      <c r="K53" s="32"/>
      <c r="L53" s="33">
        <f t="shared" si="1"/>
        <v>0</v>
      </c>
      <c r="M53" s="37"/>
    </row>
    <row r="54" spans="1:14" ht="15.75">
      <c r="A54" s="11">
        <f t="shared" si="2"/>
        <v>48</v>
      </c>
      <c r="B54" s="19" t="s">
        <v>553</v>
      </c>
      <c r="C54" s="19" t="s">
        <v>942</v>
      </c>
      <c r="D54" s="19">
        <v>101780</v>
      </c>
      <c r="E54" s="305" t="s">
        <v>554</v>
      </c>
      <c r="F54" s="14">
        <v>52.5</v>
      </c>
      <c r="G54" s="74">
        <v>50</v>
      </c>
      <c r="H54" s="75">
        <v>2.5</v>
      </c>
      <c r="I54" s="14"/>
      <c r="J54" s="18">
        <f t="shared" si="0"/>
        <v>52.5</v>
      </c>
      <c r="K54" s="32"/>
      <c r="L54" s="33">
        <f t="shared" si="1"/>
        <v>0</v>
      </c>
      <c r="M54" s="37"/>
    </row>
    <row r="55" spans="1:14" ht="15.75">
      <c r="A55" s="11">
        <f t="shared" si="2"/>
        <v>49</v>
      </c>
      <c r="B55" s="116" t="s">
        <v>555</v>
      </c>
      <c r="C55" s="19" t="s">
        <v>942</v>
      </c>
      <c r="D55" s="19">
        <v>105063</v>
      </c>
      <c r="E55" s="302" t="s">
        <v>556</v>
      </c>
      <c r="F55" s="14">
        <v>52.5</v>
      </c>
      <c r="G55" s="74">
        <v>50</v>
      </c>
      <c r="H55" s="54">
        <v>2.5</v>
      </c>
      <c r="I55" s="14"/>
      <c r="J55" s="18">
        <f t="shared" si="0"/>
        <v>52.5</v>
      </c>
      <c r="K55" s="32"/>
      <c r="L55" s="33">
        <f t="shared" si="1"/>
        <v>0</v>
      </c>
      <c r="M55" s="215"/>
    </row>
    <row r="56" spans="1:14" ht="15.75">
      <c r="A56" s="11">
        <f t="shared" si="2"/>
        <v>50</v>
      </c>
      <c r="B56" s="30" t="s">
        <v>558</v>
      </c>
      <c r="C56" s="19" t="s">
        <v>942</v>
      </c>
      <c r="D56" s="19">
        <v>101451</v>
      </c>
      <c r="E56" s="308" t="s">
        <v>125</v>
      </c>
      <c r="F56" s="14">
        <v>230</v>
      </c>
      <c r="G56" s="74">
        <v>100</v>
      </c>
      <c r="H56" s="75">
        <v>5</v>
      </c>
      <c r="I56" s="249">
        <v>125</v>
      </c>
      <c r="J56" s="18">
        <f t="shared" si="0"/>
        <v>230</v>
      </c>
      <c r="K56" s="35"/>
      <c r="L56" s="36">
        <f t="shared" si="1"/>
        <v>0</v>
      </c>
      <c r="M56" s="37"/>
    </row>
    <row r="57" spans="1:14" ht="18.75" customHeight="1">
      <c r="A57" s="11">
        <f t="shared" si="2"/>
        <v>51</v>
      </c>
      <c r="B57" s="19" t="s">
        <v>560</v>
      </c>
      <c r="C57" s="19" t="s">
        <v>942</v>
      </c>
      <c r="D57" s="19">
        <v>101760</v>
      </c>
      <c r="E57" s="302" t="s">
        <v>561</v>
      </c>
      <c r="F57" s="14">
        <v>52.5</v>
      </c>
      <c r="G57" s="74">
        <v>50</v>
      </c>
      <c r="H57" s="75">
        <v>2.5</v>
      </c>
      <c r="I57" s="14"/>
      <c r="J57" s="18">
        <f t="shared" si="0"/>
        <v>52.5</v>
      </c>
      <c r="K57" s="32"/>
      <c r="L57" s="33">
        <f t="shared" si="1"/>
        <v>0</v>
      </c>
      <c r="M57" s="215"/>
    </row>
    <row r="58" spans="1:14" ht="17.25" customHeight="1">
      <c r="A58" s="11">
        <f t="shared" si="2"/>
        <v>52</v>
      </c>
      <c r="B58" s="19" t="s">
        <v>562</v>
      </c>
      <c r="C58" s="19" t="s">
        <v>942</v>
      </c>
      <c r="D58" s="19">
        <v>101575</v>
      </c>
      <c r="E58" s="302" t="s">
        <v>563</v>
      </c>
      <c r="F58" s="14">
        <v>52.5</v>
      </c>
      <c r="G58" s="20">
        <v>50</v>
      </c>
      <c r="H58" s="75">
        <v>2.5</v>
      </c>
      <c r="I58" s="14"/>
      <c r="J58" s="18">
        <f t="shared" si="0"/>
        <v>52.5</v>
      </c>
      <c r="K58" s="32"/>
      <c r="L58" s="33">
        <f t="shared" si="1"/>
        <v>0</v>
      </c>
      <c r="M58" s="215"/>
      <c r="N58" s="6"/>
    </row>
    <row r="59" spans="1:14" ht="16.5" customHeight="1">
      <c r="A59" s="11">
        <f t="shared" si="2"/>
        <v>53</v>
      </c>
      <c r="B59" s="19" t="s">
        <v>564</v>
      </c>
      <c r="C59" s="19" t="s">
        <v>942</v>
      </c>
      <c r="D59" s="19">
        <v>101852</v>
      </c>
      <c r="E59" s="302" t="s">
        <v>307</v>
      </c>
      <c r="F59" s="14">
        <v>105</v>
      </c>
      <c r="G59" s="53">
        <v>100</v>
      </c>
      <c r="H59" s="54">
        <v>5</v>
      </c>
      <c r="I59" s="248"/>
      <c r="J59" s="18">
        <f t="shared" si="0"/>
        <v>105</v>
      </c>
      <c r="K59" s="61"/>
      <c r="L59" s="33">
        <f>+(F59-((SUM(J59+K59))))</f>
        <v>0</v>
      </c>
      <c r="M59" s="37"/>
      <c r="N59" s="6"/>
    </row>
    <row r="60" spans="1:14" ht="15.75">
      <c r="A60" s="11">
        <f t="shared" si="2"/>
        <v>54</v>
      </c>
      <c r="B60" s="30" t="s">
        <v>565</v>
      </c>
      <c r="C60" s="19" t="s">
        <v>942</v>
      </c>
      <c r="D60" s="19">
        <v>101622</v>
      </c>
      <c r="E60" s="309" t="s">
        <v>566</v>
      </c>
      <c r="F60" s="14">
        <v>52.5</v>
      </c>
      <c r="G60" s="74">
        <v>50</v>
      </c>
      <c r="H60" s="75">
        <v>2.5</v>
      </c>
      <c r="I60" s="249"/>
      <c r="J60" s="18">
        <f t="shared" si="0"/>
        <v>52.5</v>
      </c>
      <c r="K60" s="35"/>
      <c r="L60" s="36">
        <f t="shared" si="1"/>
        <v>0</v>
      </c>
      <c r="M60" s="215"/>
      <c r="N60" s="6"/>
    </row>
    <row r="61" spans="1:14" ht="15.75">
      <c r="A61" s="11">
        <f t="shared" si="2"/>
        <v>55</v>
      </c>
      <c r="B61" s="30" t="s">
        <v>572</v>
      </c>
      <c r="C61" s="30"/>
      <c r="D61" s="30">
        <v>105122</v>
      </c>
      <c r="E61" s="309" t="s">
        <v>953</v>
      </c>
      <c r="F61" s="14">
        <v>52.5</v>
      </c>
      <c r="G61" s="74">
        <v>50</v>
      </c>
      <c r="H61" s="75">
        <v>2.5</v>
      </c>
      <c r="I61" s="249"/>
      <c r="J61" s="18">
        <f t="shared" si="0"/>
        <v>52.5</v>
      </c>
      <c r="K61" s="35"/>
      <c r="L61" s="36">
        <f t="shared" si="1"/>
        <v>0</v>
      </c>
      <c r="M61" s="215"/>
      <c r="N61" s="6"/>
    </row>
    <row r="62" spans="1:14" ht="15.75">
      <c r="A62" s="11">
        <f t="shared" si="2"/>
        <v>56</v>
      </c>
      <c r="B62" s="19" t="s">
        <v>60</v>
      </c>
      <c r="C62" s="19" t="s">
        <v>942</v>
      </c>
      <c r="D62" s="19">
        <v>101744</v>
      </c>
      <c r="E62" s="302" t="s">
        <v>62</v>
      </c>
      <c r="F62" s="14">
        <v>52.5</v>
      </c>
      <c r="G62" s="53">
        <v>50</v>
      </c>
      <c r="H62" s="54">
        <v>2.5</v>
      </c>
      <c r="I62" s="14"/>
      <c r="J62" s="18">
        <f t="shared" si="0"/>
        <v>52.5</v>
      </c>
      <c r="K62" s="32"/>
      <c r="L62" s="33">
        <f t="shared" si="1"/>
        <v>0</v>
      </c>
      <c r="M62" s="215"/>
      <c r="N62" s="6"/>
    </row>
    <row r="63" spans="1:14" ht="15.75">
      <c r="A63" s="11">
        <f t="shared" si="2"/>
        <v>57</v>
      </c>
      <c r="B63" s="19" t="s">
        <v>576</v>
      </c>
      <c r="C63" s="19" t="s">
        <v>942</v>
      </c>
      <c r="D63" s="19">
        <v>101501</v>
      </c>
      <c r="E63" s="305" t="s">
        <v>577</v>
      </c>
      <c r="F63" s="14">
        <v>52.5</v>
      </c>
      <c r="G63" s="74">
        <v>50</v>
      </c>
      <c r="H63" s="75">
        <v>2.5</v>
      </c>
      <c r="I63" s="14"/>
      <c r="J63" s="18">
        <f t="shared" si="0"/>
        <v>52.5</v>
      </c>
      <c r="K63" s="32"/>
      <c r="L63" s="33">
        <f t="shared" si="1"/>
        <v>0</v>
      </c>
      <c r="M63" s="215"/>
      <c r="N63" s="6"/>
    </row>
    <row r="64" spans="1:14" ht="15.75">
      <c r="A64" s="11">
        <f t="shared" si="2"/>
        <v>58</v>
      </c>
      <c r="B64" s="19" t="s">
        <v>578</v>
      </c>
      <c r="C64" s="19" t="s">
        <v>942</v>
      </c>
      <c r="D64" s="19">
        <v>101574</v>
      </c>
      <c r="E64" s="305" t="s">
        <v>579</v>
      </c>
      <c r="F64" s="14">
        <v>131.25</v>
      </c>
      <c r="G64" s="20">
        <v>100</v>
      </c>
      <c r="H64" s="21">
        <v>5</v>
      </c>
      <c r="I64" s="248">
        <v>26.25</v>
      </c>
      <c r="J64" s="18">
        <f t="shared" si="0"/>
        <v>131.25</v>
      </c>
      <c r="K64" s="32"/>
      <c r="L64" s="33">
        <f t="shared" si="1"/>
        <v>0</v>
      </c>
      <c r="M64" s="37"/>
      <c r="N64" s="6"/>
    </row>
    <row r="65" spans="1:14" ht="15.75">
      <c r="A65" s="11">
        <f t="shared" si="2"/>
        <v>59</v>
      </c>
      <c r="B65" s="19" t="s">
        <v>582</v>
      </c>
      <c r="C65" s="19" t="s">
        <v>942</v>
      </c>
      <c r="D65" s="19">
        <v>101885</v>
      </c>
      <c r="E65" s="302" t="s">
        <v>583</v>
      </c>
      <c r="F65" s="14">
        <v>52.5</v>
      </c>
      <c r="G65" s="74">
        <v>50</v>
      </c>
      <c r="H65" s="54">
        <v>2.5</v>
      </c>
      <c r="I65" s="14"/>
      <c r="J65" s="18">
        <f t="shared" si="0"/>
        <v>52.5</v>
      </c>
      <c r="K65" s="32"/>
      <c r="L65" s="33">
        <f t="shared" si="1"/>
        <v>0</v>
      </c>
      <c r="M65" s="215"/>
      <c r="N65" s="6"/>
    </row>
    <row r="66" spans="1:14" ht="15.75">
      <c r="A66" s="11">
        <f t="shared" si="2"/>
        <v>60</v>
      </c>
      <c r="B66" s="116" t="s">
        <v>584</v>
      </c>
      <c r="C66" s="19" t="s">
        <v>942</v>
      </c>
      <c r="D66" s="19">
        <v>101867</v>
      </c>
      <c r="E66" s="302" t="s">
        <v>585</v>
      </c>
      <c r="F66" s="14">
        <v>52.5</v>
      </c>
      <c r="G66" s="74">
        <v>50</v>
      </c>
      <c r="H66" s="54">
        <v>2.5</v>
      </c>
      <c r="I66" s="14"/>
      <c r="J66" s="18">
        <f t="shared" si="0"/>
        <v>52.5</v>
      </c>
      <c r="K66" s="32"/>
      <c r="L66" s="33">
        <f t="shared" si="1"/>
        <v>0</v>
      </c>
      <c r="M66" s="215"/>
      <c r="N66" s="6"/>
    </row>
    <row r="67" spans="1:14" ht="15.75">
      <c r="A67" s="11">
        <f t="shared" si="2"/>
        <v>61</v>
      </c>
      <c r="B67" s="19" t="s">
        <v>586</v>
      </c>
      <c r="C67" s="19" t="s">
        <v>942</v>
      </c>
      <c r="D67" s="19">
        <v>101890</v>
      </c>
      <c r="E67" s="302" t="s">
        <v>587</v>
      </c>
      <c r="F67" s="14">
        <v>352.5</v>
      </c>
      <c r="G67" s="74">
        <v>50</v>
      </c>
      <c r="H67" s="54">
        <v>2.5</v>
      </c>
      <c r="I67" s="14">
        <v>300</v>
      </c>
      <c r="J67" s="18">
        <f t="shared" si="0"/>
        <v>352.5</v>
      </c>
      <c r="K67" s="32"/>
      <c r="L67" s="33">
        <f>+(F67-((SUM(J67+K67))))</f>
        <v>0</v>
      </c>
      <c r="M67" s="215"/>
      <c r="N67" s="6"/>
    </row>
    <row r="68" spans="1:14" ht="15.75">
      <c r="A68" s="11">
        <f t="shared" si="2"/>
        <v>62</v>
      </c>
      <c r="B68" s="116" t="s">
        <v>588</v>
      </c>
      <c r="C68" s="19" t="s">
        <v>942</v>
      </c>
      <c r="D68" s="19">
        <v>101912</v>
      </c>
      <c r="E68" s="302" t="s">
        <v>589</v>
      </c>
      <c r="F68" s="14">
        <v>52.5</v>
      </c>
      <c r="G68" s="74">
        <v>50</v>
      </c>
      <c r="H68" s="54">
        <v>2.5</v>
      </c>
      <c r="I68" s="14"/>
      <c r="J68" s="18">
        <f t="shared" si="0"/>
        <v>52.5</v>
      </c>
      <c r="K68" s="32"/>
      <c r="L68" s="33">
        <f>+(F68-((SUM(J68+K68))))</f>
        <v>0</v>
      </c>
      <c r="M68" s="37"/>
      <c r="N68" s="6"/>
    </row>
    <row r="69" spans="1:14" ht="15" customHeight="1">
      <c r="A69" s="11">
        <f t="shared" si="2"/>
        <v>63</v>
      </c>
      <c r="B69" s="132" t="s">
        <v>590</v>
      </c>
      <c r="C69" s="19" t="s">
        <v>942</v>
      </c>
      <c r="D69" s="19">
        <v>101909</v>
      </c>
      <c r="E69" s="302" t="s">
        <v>591</v>
      </c>
      <c r="F69" s="14">
        <v>52.5</v>
      </c>
      <c r="G69" s="238">
        <v>50</v>
      </c>
      <c r="H69" s="131">
        <v>2.5</v>
      </c>
      <c r="I69" s="14"/>
      <c r="J69" s="18">
        <f t="shared" si="0"/>
        <v>52.5</v>
      </c>
      <c r="K69" s="32"/>
      <c r="L69" s="33">
        <f>+(F69-((SUM(J69+K69))))</f>
        <v>0</v>
      </c>
      <c r="M69" s="215"/>
      <c r="N69" s="6"/>
    </row>
    <row r="70" spans="1:14" ht="15.75">
      <c r="A70" s="11">
        <f t="shared" si="2"/>
        <v>64</v>
      </c>
      <c r="B70" s="116" t="s">
        <v>592</v>
      </c>
      <c r="C70" s="19" t="s">
        <v>942</v>
      </c>
      <c r="D70" s="19">
        <v>101871</v>
      </c>
      <c r="E70" s="302" t="s">
        <v>593</v>
      </c>
      <c r="F70" s="14">
        <v>52.5</v>
      </c>
      <c r="G70" s="74">
        <v>50</v>
      </c>
      <c r="H70" s="54">
        <v>2.5</v>
      </c>
      <c r="I70" s="14"/>
      <c r="J70" s="18">
        <f t="shared" si="0"/>
        <v>52.5</v>
      </c>
      <c r="K70" s="32"/>
      <c r="L70" s="33">
        <f>+(F70-((SUM(J70+K70))))</f>
        <v>0</v>
      </c>
      <c r="M70" s="215"/>
      <c r="N70" s="6"/>
    </row>
    <row r="71" spans="1:14" ht="15.75">
      <c r="A71" s="11">
        <f t="shared" si="2"/>
        <v>65</v>
      </c>
      <c r="B71" s="19" t="s">
        <v>50</v>
      </c>
      <c r="C71" s="19"/>
      <c r="D71" s="19"/>
      <c r="E71" s="302" t="s">
        <v>594</v>
      </c>
      <c r="F71" s="14">
        <v>52.5</v>
      </c>
      <c r="G71" s="53">
        <v>50</v>
      </c>
      <c r="H71" s="54">
        <v>2.5</v>
      </c>
      <c r="I71" s="249"/>
      <c r="J71" s="18">
        <f t="shared" ref="J71:J137" si="3">SUM(G71+H71+I71)</f>
        <v>52.5</v>
      </c>
      <c r="K71" s="32"/>
      <c r="L71" s="33">
        <f t="shared" ref="L71:L101" si="4">+(F71-((SUM(J71+K71))))</f>
        <v>0</v>
      </c>
      <c r="M71" s="215"/>
      <c r="N71" s="6"/>
    </row>
    <row r="72" spans="1:14" ht="15.75">
      <c r="A72" s="11">
        <f t="shared" si="2"/>
        <v>66</v>
      </c>
      <c r="B72" s="19" t="s">
        <v>8</v>
      </c>
      <c r="C72" s="30"/>
      <c r="D72" s="30"/>
      <c r="E72" s="309" t="s">
        <v>10</v>
      </c>
      <c r="F72" s="14">
        <v>52.5</v>
      </c>
      <c r="G72" s="20">
        <v>50</v>
      </c>
      <c r="H72" s="21">
        <v>2.5</v>
      </c>
      <c r="I72" s="14"/>
      <c r="J72" s="18">
        <f t="shared" si="3"/>
        <v>52.5</v>
      </c>
      <c r="K72" s="32"/>
      <c r="L72" s="33">
        <f t="shared" si="4"/>
        <v>0</v>
      </c>
      <c r="M72" s="215"/>
      <c r="N72" s="6"/>
    </row>
    <row r="73" spans="1:14" ht="15.75">
      <c r="A73" s="11">
        <f t="shared" ref="A73:A136" si="5">1+A72</f>
        <v>67</v>
      </c>
      <c r="B73" s="19" t="s">
        <v>595</v>
      </c>
      <c r="C73" s="19"/>
      <c r="D73" s="19"/>
      <c r="E73" s="302" t="s">
        <v>596</v>
      </c>
      <c r="F73" s="14">
        <v>2.0499999999999998</v>
      </c>
      <c r="G73" s="74">
        <v>2</v>
      </c>
      <c r="H73" s="54">
        <v>0.05</v>
      </c>
      <c r="I73" s="14"/>
      <c r="J73" s="18">
        <f t="shared" si="3"/>
        <v>2.0499999999999998</v>
      </c>
      <c r="K73" s="32"/>
      <c r="L73" s="33">
        <f t="shared" si="4"/>
        <v>0</v>
      </c>
      <c r="M73" s="215"/>
      <c r="N73" s="6"/>
    </row>
    <row r="74" spans="1:14" ht="15.75">
      <c r="A74" s="11">
        <f t="shared" si="5"/>
        <v>68</v>
      </c>
      <c r="B74" s="19" t="s">
        <v>597</v>
      </c>
      <c r="C74" s="211"/>
      <c r="D74" s="211">
        <v>105248</v>
      </c>
      <c r="E74" s="302" t="s">
        <v>954</v>
      </c>
      <c r="F74" s="14">
        <v>124.52</v>
      </c>
      <c r="G74" s="53">
        <v>100</v>
      </c>
      <c r="H74" s="54">
        <v>5</v>
      </c>
      <c r="I74" s="14">
        <v>19.52</v>
      </c>
      <c r="J74" s="18">
        <f t="shared" si="3"/>
        <v>124.52</v>
      </c>
      <c r="K74" s="32"/>
      <c r="L74" s="33">
        <f>+(F74-((SUM(J74+K74))))</f>
        <v>0</v>
      </c>
      <c r="M74" s="215"/>
      <c r="N74" s="40"/>
    </row>
    <row r="75" spans="1:14" ht="15.75">
      <c r="A75" s="11">
        <f t="shared" si="5"/>
        <v>69</v>
      </c>
      <c r="B75" s="116" t="s">
        <v>599</v>
      </c>
      <c r="C75" s="19"/>
      <c r="D75" s="19"/>
      <c r="E75" s="302" t="s">
        <v>600</v>
      </c>
      <c r="F75" s="14">
        <v>52.5</v>
      </c>
      <c r="G75" s="74">
        <v>50</v>
      </c>
      <c r="H75" s="54">
        <v>2.5</v>
      </c>
      <c r="I75" s="14"/>
      <c r="J75" s="18">
        <f t="shared" si="3"/>
        <v>52.5</v>
      </c>
      <c r="K75" s="32"/>
      <c r="L75" s="33">
        <f t="shared" si="4"/>
        <v>0</v>
      </c>
      <c r="M75" s="215"/>
      <c r="N75" s="6"/>
    </row>
    <row r="76" spans="1:14" ht="15.75">
      <c r="A76" s="11">
        <f t="shared" si="5"/>
        <v>70</v>
      </c>
      <c r="B76" s="19" t="s">
        <v>601</v>
      </c>
      <c r="C76" s="19"/>
      <c r="D76" s="19"/>
      <c r="E76" s="304" t="s">
        <v>602</v>
      </c>
      <c r="F76" s="14">
        <v>52.5</v>
      </c>
      <c r="G76" s="53">
        <v>50</v>
      </c>
      <c r="H76" s="54">
        <v>2.5</v>
      </c>
      <c r="I76" s="14"/>
      <c r="J76" s="18">
        <f t="shared" si="3"/>
        <v>52.5</v>
      </c>
      <c r="K76" s="32"/>
      <c r="L76" s="33">
        <f t="shared" si="4"/>
        <v>0</v>
      </c>
      <c r="M76" s="215"/>
      <c r="N76" s="6"/>
    </row>
    <row r="77" spans="1:14" ht="15.75">
      <c r="A77" s="11">
        <f t="shared" si="5"/>
        <v>71</v>
      </c>
      <c r="B77" s="116" t="s">
        <v>603</v>
      </c>
      <c r="C77" s="19" t="s">
        <v>942</v>
      </c>
      <c r="D77" s="19">
        <v>101863</v>
      </c>
      <c r="E77" s="302" t="s">
        <v>604</v>
      </c>
      <c r="F77" s="14">
        <v>52.5</v>
      </c>
      <c r="G77" s="74">
        <v>50</v>
      </c>
      <c r="H77" s="54">
        <v>2.5</v>
      </c>
      <c r="I77" s="14"/>
      <c r="J77" s="18">
        <f t="shared" si="3"/>
        <v>52.5</v>
      </c>
      <c r="K77" s="32"/>
      <c r="L77" s="33">
        <f t="shared" si="4"/>
        <v>0</v>
      </c>
      <c r="M77" s="215"/>
      <c r="N77" s="6"/>
    </row>
    <row r="78" spans="1:14" ht="15.75">
      <c r="A78" s="11">
        <f t="shared" si="5"/>
        <v>72</v>
      </c>
      <c r="B78" s="19" t="s">
        <v>66</v>
      </c>
      <c r="C78" s="19" t="s">
        <v>942</v>
      </c>
      <c r="D78" s="19">
        <v>105120</v>
      </c>
      <c r="E78" s="302" t="s">
        <v>605</v>
      </c>
      <c r="F78" s="14">
        <v>52.5</v>
      </c>
      <c r="G78" s="53">
        <v>50</v>
      </c>
      <c r="H78" s="54">
        <v>2.5</v>
      </c>
      <c r="I78" s="14"/>
      <c r="J78" s="18">
        <f t="shared" si="3"/>
        <v>52.5</v>
      </c>
      <c r="K78" s="32"/>
      <c r="L78" s="33">
        <f t="shared" si="4"/>
        <v>0</v>
      </c>
      <c r="M78" s="215"/>
      <c r="N78" s="6"/>
    </row>
    <row r="79" spans="1:14" ht="15.75">
      <c r="A79" s="11">
        <f t="shared" si="5"/>
        <v>73</v>
      </c>
      <c r="B79" s="19" t="s">
        <v>606</v>
      </c>
      <c r="C79" s="19"/>
      <c r="D79" s="19"/>
      <c r="E79" s="302" t="s">
        <v>607</v>
      </c>
      <c r="F79" s="14">
        <v>52.5</v>
      </c>
      <c r="G79" s="20">
        <v>50</v>
      </c>
      <c r="H79" s="21">
        <v>2.5</v>
      </c>
      <c r="I79" s="14"/>
      <c r="J79" s="18">
        <f t="shared" si="3"/>
        <v>52.5</v>
      </c>
      <c r="K79" s="32"/>
      <c r="L79" s="33">
        <f t="shared" si="4"/>
        <v>0</v>
      </c>
      <c r="M79" s="215"/>
      <c r="N79" s="6"/>
    </row>
    <row r="80" spans="1:14" ht="15.75">
      <c r="A80" s="11">
        <f t="shared" si="5"/>
        <v>74</v>
      </c>
      <c r="B80" s="19" t="s">
        <v>608</v>
      </c>
      <c r="C80" s="19" t="s">
        <v>942</v>
      </c>
      <c r="D80" s="19">
        <v>101012</v>
      </c>
      <c r="E80" s="302" t="s">
        <v>167</v>
      </c>
      <c r="F80" s="14">
        <v>52.5</v>
      </c>
      <c r="G80" s="20">
        <v>50</v>
      </c>
      <c r="H80" s="21">
        <v>2.5</v>
      </c>
      <c r="I80" s="14"/>
      <c r="J80" s="18">
        <f t="shared" si="3"/>
        <v>52.5</v>
      </c>
      <c r="K80" s="32"/>
      <c r="L80" s="33">
        <f t="shared" si="4"/>
        <v>0</v>
      </c>
      <c r="M80" s="215"/>
      <c r="N80" s="6"/>
    </row>
    <row r="81" spans="1:14" ht="15.75">
      <c r="A81" s="11">
        <f t="shared" si="5"/>
        <v>75</v>
      </c>
      <c r="B81" s="19" t="s">
        <v>609</v>
      </c>
      <c r="C81" s="19" t="s">
        <v>942</v>
      </c>
      <c r="D81" s="19">
        <v>105349</v>
      </c>
      <c r="E81" s="302" t="s">
        <v>955</v>
      </c>
      <c r="F81" s="14">
        <v>52.5</v>
      </c>
      <c r="G81" s="74">
        <v>50</v>
      </c>
      <c r="H81" s="75">
        <v>2.5</v>
      </c>
      <c r="I81" s="14"/>
      <c r="J81" s="18">
        <f t="shared" si="3"/>
        <v>52.5</v>
      </c>
      <c r="K81" s="32"/>
      <c r="L81" s="33">
        <f t="shared" si="4"/>
        <v>0</v>
      </c>
      <c r="M81" s="215"/>
      <c r="N81" s="6"/>
    </row>
    <row r="82" spans="1:14" ht="15.75">
      <c r="A82" s="11">
        <f t="shared" si="5"/>
        <v>76</v>
      </c>
      <c r="B82" s="19" t="s">
        <v>410</v>
      </c>
      <c r="C82" s="19" t="s">
        <v>942</v>
      </c>
      <c r="D82" s="19">
        <v>105525</v>
      </c>
      <c r="E82" s="305" t="s">
        <v>1038</v>
      </c>
      <c r="F82" s="14">
        <v>52.5</v>
      </c>
      <c r="G82" s="20">
        <v>50</v>
      </c>
      <c r="H82" s="75">
        <v>2.5</v>
      </c>
      <c r="I82" s="14"/>
      <c r="J82" s="18">
        <f t="shared" si="3"/>
        <v>52.5</v>
      </c>
      <c r="K82" s="32"/>
      <c r="L82" s="33">
        <f t="shared" si="4"/>
        <v>0</v>
      </c>
      <c r="M82" s="215"/>
      <c r="N82" s="6"/>
    </row>
    <row r="83" spans="1:14" ht="15.75">
      <c r="A83" s="11">
        <f t="shared" si="5"/>
        <v>77</v>
      </c>
      <c r="B83" s="116" t="s">
        <v>613</v>
      </c>
      <c r="C83" s="19" t="s">
        <v>942</v>
      </c>
      <c r="D83" s="19">
        <v>105340</v>
      </c>
      <c r="E83" s="302" t="s">
        <v>957</v>
      </c>
      <c r="F83" s="14">
        <v>52.5</v>
      </c>
      <c r="G83" s="53">
        <v>50</v>
      </c>
      <c r="H83" s="54">
        <v>2.5</v>
      </c>
      <c r="I83" s="14"/>
      <c r="J83" s="18">
        <f t="shared" si="3"/>
        <v>52.5</v>
      </c>
      <c r="K83" s="32"/>
      <c r="L83" s="33">
        <f t="shared" si="4"/>
        <v>0</v>
      </c>
      <c r="M83" s="37"/>
      <c r="N83" s="6"/>
    </row>
    <row r="84" spans="1:14" ht="15.75">
      <c r="A84" s="11">
        <f t="shared" si="5"/>
        <v>78</v>
      </c>
      <c r="B84" s="19" t="s">
        <v>615</v>
      </c>
      <c r="C84" s="19" t="s">
        <v>942</v>
      </c>
      <c r="D84" s="19">
        <v>101820</v>
      </c>
      <c r="E84" s="302" t="s">
        <v>616</v>
      </c>
      <c r="F84" s="14">
        <v>52.5</v>
      </c>
      <c r="G84" s="74">
        <v>50</v>
      </c>
      <c r="H84" s="54">
        <v>2.5</v>
      </c>
      <c r="I84" s="14"/>
      <c r="J84" s="18">
        <f t="shared" si="3"/>
        <v>52.5</v>
      </c>
      <c r="K84" s="32"/>
      <c r="L84" s="33">
        <f t="shared" si="4"/>
        <v>0</v>
      </c>
      <c r="M84" s="215"/>
      <c r="N84" s="6"/>
    </row>
    <row r="85" spans="1:14" ht="15.75">
      <c r="A85" s="11">
        <f t="shared" si="5"/>
        <v>79</v>
      </c>
      <c r="B85" s="19" t="s">
        <v>617</v>
      </c>
      <c r="C85" s="19" t="s">
        <v>942</v>
      </c>
      <c r="D85" s="19">
        <v>101504</v>
      </c>
      <c r="E85" s="302" t="s">
        <v>618</v>
      </c>
      <c r="F85" s="14">
        <v>105</v>
      </c>
      <c r="G85" s="74">
        <v>100</v>
      </c>
      <c r="H85" s="75">
        <v>5</v>
      </c>
      <c r="I85" s="14"/>
      <c r="J85" s="18">
        <f t="shared" si="3"/>
        <v>105</v>
      </c>
      <c r="K85" s="32"/>
      <c r="L85" s="33">
        <f>+(F85-((SUM(J85+K85))))</f>
        <v>0</v>
      </c>
      <c r="M85" s="215"/>
      <c r="N85" s="6"/>
    </row>
    <row r="86" spans="1:14" ht="15.75">
      <c r="A86" s="11">
        <f t="shared" si="5"/>
        <v>80</v>
      </c>
      <c r="B86" s="19" t="s">
        <v>619</v>
      </c>
      <c r="C86" s="19" t="s">
        <v>942</v>
      </c>
      <c r="D86" s="19">
        <v>101418</v>
      </c>
      <c r="E86" s="302" t="s">
        <v>620</v>
      </c>
      <c r="F86" s="14">
        <v>154.88999999999999</v>
      </c>
      <c r="G86" s="74">
        <v>100</v>
      </c>
      <c r="H86" s="75">
        <v>5</v>
      </c>
      <c r="I86" s="14">
        <v>49.89</v>
      </c>
      <c r="J86" s="18">
        <f t="shared" si="3"/>
        <v>154.88999999999999</v>
      </c>
      <c r="K86" s="32"/>
      <c r="L86" s="33">
        <f t="shared" si="4"/>
        <v>0</v>
      </c>
      <c r="M86" s="215"/>
      <c r="N86" s="6"/>
    </row>
    <row r="87" spans="1:14" ht="15.75">
      <c r="A87" s="11">
        <f t="shared" si="5"/>
        <v>81</v>
      </c>
      <c r="B87" s="19" t="s">
        <v>414</v>
      </c>
      <c r="C87" s="19" t="s">
        <v>942</v>
      </c>
      <c r="D87" s="19">
        <v>101701</v>
      </c>
      <c r="E87" s="302" t="s">
        <v>621</v>
      </c>
      <c r="F87" s="14">
        <v>52.5</v>
      </c>
      <c r="G87" s="74">
        <v>50</v>
      </c>
      <c r="H87" s="75">
        <v>2.5</v>
      </c>
      <c r="I87" s="248"/>
      <c r="J87" s="18">
        <f t="shared" si="3"/>
        <v>52.5</v>
      </c>
      <c r="K87" s="32"/>
      <c r="L87" s="33">
        <f t="shared" si="4"/>
        <v>0</v>
      </c>
      <c r="M87" s="215"/>
      <c r="N87" s="6"/>
    </row>
    <row r="88" spans="1:14" ht="15.75">
      <c r="A88" s="11">
        <f t="shared" si="5"/>
        <v>82</v>
      </c>
      <c r="B88" s="19" t="s">
        <v>622</v>
      </c>
      <c r="C88" s="19" t="s">
        <v>942</v>
      </c>
      <c r="D88" s="19">
        <v>101708</v>
      </c>
      <c r="E88" s="302" t="s">
        <v>623</v>
      </c>
      <c r="F88" s="14">
        <v>52.5</v>
      </c>
      <c r="G88" s="74">
        <v>50</v>
      </c>
      <c r="H88" s="75">
        <v>2.5</v>
      </c>
      <c r="I88" s="14"/>
      <c r="J88" s="18">
        <f t="shared" si="3"/>
        <v>52.5</v>
      </c>
      <c r="K88" s="32"/>
      <c r="L88" s="33">
        <f>+(F88-((SUM(J88+K88))))</f>
        <v>0</v>
      </c>
      <c r="M88" s="37"/>
      <c r="N88" s="6"/>
    </row>
    <row r="89" spans="1:14" ht="15.75">
      <c r="A89" s="11">
        <f t="shared" si="5"/>
        <v>83</v>
      </c>
      <c r="B89" s="19" t="s">
        <v>908</v>
      </c>
      <c r="C89" s="19" t="s">
        <v>942</v>
      </c>
      <c r="D89" s="19">
        <v>101888</v>
      </c>
      <c r="E89" s="302" t="s">
        <v>958</v>
      </c>
      <c r="F89" s="14">
        <v>52.5</v>
      </c>
      <c r="G89" s="74">
        <v>50</v>
      </c>
      <c r="H89" s="54">
        <v>2.5</v>
      </c>
      <c r="I89" s="14"/>
      <c r="J89" s="18">
        <f t="shared" si="3"/>
        <v>52.5</v>
      </c>
      <c r="K89" s="32"/>
      <c r="L89" s="33">
        <f t="shared" ref="L89:L90" si="6">+(F89-((SUM(J89+K89))))</f>
        <v>0</v>
      </c>
      <c r="M89" s="218"/>
      <c r="N89" s="6"/>
    </row>
    <row r="90" spans="1:14" ht="15.75">
      <c r="A90" s="11">
        <f t="shared" si="5"/>
        <v>84</v>
      </c>
      <c r="B90" s="19" t="s">
        <v>959</v>
      </c>
      <c r="C90" s="19" t="s">
        <v>942</v>
      </c>
      <c r="D90" s="19">
        <v>101804</v>
      </c>
      <c r="E90" s="302" t="s">
        <v>625</v>
      </c>
      <c r="F90" s="14">
        <v>572.25</v>
      </c>
      <c r="G90" s="20">
        <v>220</v>
      </c>
      <c r="H90" s="21">
        <v>11</v>
      </c>
      <c r="I90" s="14">
        <v>341.25</v>
      </c>
      <c r="J90" s="18">
        <f>SUM(G90+H90+I90)</f>
        <v>572.25</v>
      </c>
      <c r="K90" s="32"/>
      <c r="L90" s="33">
        <f t="shared" si="6"/>
        <v>0</v>
      </c>
      <c r="M90" s="218"/>
      <c r="N90" s="6"/>
    </row>
    <row r="91" spans="1:14" ht="15.75">
      <c r="A91" s="11">
        <f t="shared" si="5"/>
        <v>85</v>
      </c>
      <c r="B91" s="19" t="s">
        <v>626</v>
      </c>
      <c r="C91" s="19" t="s">
        <v>942</v>
      </c>
      <c r="D91" s="19">
        <v>101379</v>
      </c>
      <c r="E91" s="302" t="s">
        <v>144</v>
      </c>
      <c r="F91" s="14">
        <v>100</v>
      </c>
      <c r="G91" s="20">
        <v>50</v>
      </c>
      <c r="H91" s="75">
        <v>2.5</v>
      </c>
      <c r="I91" s="14">
        <v>47.5</v>
      </c>
      <c r="J91" s="18">
        <f t="shared" si="3"/>
        <v>100</v>
      </c>
      <c r="K91" s="32"/>
      <c r="L91" s="33">
        <f t="shared" si="4"/>
        <v>0</v>
      </c>
      <c r="M91" s="215"/>
      <c r="N91" s="6"/>
    </row>
    <row r="92" spans="1:14" ht="15.75">
      <c r="A92" s="11">
        <f t="shared" si="5"/>
        <v>86</v>
      </c>
      <c r="B92" s="116" t="s">
        <v>627</v>
      </c>
      <c r="C92" s="19"/>
      <c r="D92" s="19"/>
      <c r="E92" s="305" t="s">
        <v>628</v>
      </c>
      <c r="F92" s="14">
        <v>52.5</v>
      </c>
      <c r="G92" s="74">
        <v>50</v>
      </c>
      <c r="H92" s="54">
        <v>2.5</v>
      </c>
      <c r="I92" s="14"/>
      <c r="J92" s="18">
        <f t="shared" si="3"/>
        <v>52.5</v>
      </c>
      <c r="K92" s="32"/>
      <c r="L92" s="33">
        <f>+(F92-((SUM(J92+K92))))</f>
        <v>0</v>
      </c>
      <c r="M92" s="215"/>
      <c r="N92" s="6"/>
    </row>
    <row r="93" spans="1:14" ht="15.75">
      <c r="A93" s="11">
        <f t="shared" si="5"/>
        <v>87</v>
      </c>
      <c r="B93" s="19" t="s">
        <v>629</v>
      </c>
      <c r="C93" s="19"/>
      <c r="D93" s="19"/>
      <c r="E93" s="305" t="s">
        <v>630</v>
      </c>
      <c r="F93" s="14">
        <v>52.5</v>
      </c>
      <c r="G93" s="74">
        <v>50</v>
      </c>
      <c r="H93" s="75">
        <v>2.5</v>
      </c>
      <c r="I93" s="14"/>
      <c r="J93" s="18">
        <f t="shared" si="3"/>
        <v>52.5</v>
      </c>
      <c r="K93" s="32"/>
      <c r="L93" s="33">
        <f t="shared" si="4"/>
        <v>0</v>
      </c>
      <c r="M93" s="215"/>
      <c r="N93" s="6"/>
    </row>
    <row r="94" spans="1:14" ht="15.75">
      <c r="A94" s="11">
        <f t="shared" si="5"/>
        <v>88</v>
      </c>
      <c r="B94" s="30" t="s">
        <v>633</v>
      </c>
      <c r="C94" s="19" t="s">
        <v>942</v>
      </c>
      <c r="D94" s="19">
        <v>101410</v>
      </c>
      <c r="E94" s="308" t="s">
        <v>634</v>
      </c>
      <c r="F94" s="14">
        <v>105</v>
      </c>
      <c r="G94" s="74">
        <v>100</v>
      </c>
      <c r="H94" s="75">
        <v>5</v>
      </c>
      <c r="I94" s="14"/>
      <c r="J94" s="18">
        <f t="shared" si="3"/>
        <v>105</v>
      </c>
      <c r="K94" s="35"/>
      <c r="L94" s="36">
        <f>+(F94-((SUM(J94+K94))))</f>
        <v>0</v>
      </c>
      <c r="M94" s="215"/>
      <c r="N94" s="6"/>
    </row>
    <row r="95" spans="1:14" ht="15.75">
      <c r="A95" s="11">
        <f t="shared" si="5"/>
        <v>89</v>
      </c>
      <c r="B95" s="19" t="s">
        <v>635</v>
      </c>
      <c r="C95" s="19" t="s">
        <v>942</v>
      </c>
      <c r="D95" s="19">
        <v>101458</v>
      </c>
      <c r="E95" s="302" t="s">
        <v>960</v>
      </c>
      <c r="F95" s="14">
        <v>52.5</v>
      </c>
      <c r="G95" s="74">
        <v>50</v>
      </c>
      <c r="H95" s="75">
        <v>2.5</v>
      </c>
      <c r="I95" s="14"/>
      <c r="J95" s="18">
        <f t="shared" si="3"/>
        <v>52.5</v>
      </c>
      <c r="K95" s="32"/>
      <c r="L95" s="33">
        <f t="shared" si="4"/>
        <v>0</v>
      </c>
      <c r="M95" s="215"/>
      <c r="N95" s="6"/>
    </row>
    <row r="96" spans="1:14" ht="15.75">
      <c r="A96" s="11">
        <f t="shared" si="5"/>
        <v>90</v>
      </c>
      <c r="B96" s="19" t="s">
        <v>637</v>
      </c>
      <c r="C96" s="19" t="s">
        <v>942</v>
      </c>
      <c r="D96" s="19">
        <v>101018</v>
      </c>
      <c r="E96" s="302" t="s">
        <v>961</v>
      </c>
      <c r="F96" s="14">
        <v>52.5</v>
      </c>
      <c r="G96" s="74">
        <v>50</v>
      </c>
      <c r="H96" s="54">
        <v>2.5</v>
      </c>
      <c r="I96" s="14"/>
      <c r="J96" s="18">
        <f t="shared" si="3"/>
        <v>52.5</v>
      </c>
      <c r="K96" s="32"/>
      <c r="L96" s="33">
        <f t="shared" si="4"/>
        <v>0</v>
      </c>
      <c r="M96" s="215"/>
      <c r="N96" s="6"/>
    </row>
    <row r="97" spans="1:14" ht="15.75">
      <c r="A97" s="11">
        <f t="shared" si="5"/>
        <v>91</v>
      </c>
      <c r="B97" s="19" t="s">
        <v>639</v>
      </c>
      <c r="C97" s="19" t="s">
        <v>942</v>
      </c>
      <c r="D97" s="19">
        <v>101800</v>
      </c>
      <c r="E97" s="302" t="s">
        <v>640</v>
      </c>
      <c r="F97" s="14">
        <v>52.5</v>
      </c>
      <c r="G97" s="20">
        <v>50</v>
      </c>
      <c r="H97" s="21">
        <v>2.5</v>
      </c>
      <c r="I97" s="14"/>
      <c r="J97" s="18">
        <f t="shared" si="3"/>
        <v>52.5</v>
      </c>
      <c r="K97" s="32"/>
      <c r="L97" s="33">
        <f>+(F97-((SUM(J97+K97))))</f>
        <v>0</v>
      </c>
      <c r="M97" s="215"/>
      <c r="N97" s="58"/>
    </row>
    <row r="98" spans="1:14" ht="15.75">
      <c r="A98" s="11">
        <f t="shared" si="5"/>
        <v>92</v>
      </c>
      <c r="B98" s="19" t="s">
        <v>641</v>
      </c>
      <c r="C98" s="19" t="s">
        <v>942</v>
      </c>
      <c r="D98" s="19">
        <v>101606</v>
      </c>
      <c r="E98" s="305" t="s">
        <v>642</v>
      </c>
      <c r="F98" s="14">
        <v>52.5</v>
      </c>
      <c r="G98" s="74">
        <v>50</v>
      </c>
      <c r="H98" s="21">
        <v>2.5</v>
      </c>
      <c r="I98" s="14"/>
      <c r="J98" s="18">
        <f t="shared" si="3"/>
        <v>52.5</v>
      </c>
      <c r="K98" s="32"/>
      <c r="L98" s="33">
        <f>+(F98-((SUM(J98+K98))))</f>
        <v>0</v>
      </c>
      <c r="M98" s="215"/>
      <c r="N98" s="59" t="s">
        <v>525</v>
      </c>
    </row>
    <row r="99" spans="1:14" ht="15.75">
      <c r="A99" s="11">
        <f t="shared" si="5"/>
        <v>93</v>
      </c>
      <c r="B99" s="19" t="s">
        <v>643</v>
      </c>
      <c r="C99" s="19" t="s">
        <v>942</v>
      </c>
      <c r="D99" s="19">
        <v>101663</v>
      </c>
      <c r="E99" s="305" t="s">
        <v>644</v>
      </c>
      <c r="F99" s="14">
        <v>52.5</v>
      </c>
      <c r="G99" s="74">
        <v>50</v>
      </c>
      <c r="H99" s="75">
        <v>2.5</v>
      </c>
      <c r="I99" s="14"/>
      <c r="J99" s="18">
        <f t="shared" si="3"/>
        <v>52.5</v>
      </c>
      <c r="K99" s="32"/>
      <c r="L99" s="33">
        <f t="shared" si="4"/>
        <v>0</v>
      </c>
      <c r="M99" s="37"/>
      <c r="N99" s="60" t="s">
        <v>79</v>
      </c>
    </row>
    <row r="100" spans="1:14" ht="15.75">
      <c r="A100" s="11">
        <f t="shared" si="5"/>
        <v>94</v>
      </c>
      <c r="B100" s="19" t="s">
        <v>645</v>
      </c>
      <c r="C100" s="19" t="s">
        <v>942</v>
      </c>
      <c r="D100" s="19">
        <v>101716</v>
      </c>
      <c r="E100" s="302" t="s">
        <v>646</v>
      </c>
      <c r="F100" s="14">
        <v>105</v>
      </c>
      <c r="G100" s="74">
        <v>100</v>
      </c>
      <c r="H100" s="75">
        <v>5</v>
      </c>
      <c r="I100" s="14"/>
      <c r="J100" s="18">
        <f t="shared" si="3"/>
        <v>105</v>
      </c>
      <c r="K100" s="32"/>
      <c r="L100" s="36">
        <f t="shared" si="4"/>
        <v>0</v>
      </c>
      <c r="M100" s="37"/>
      <c r="N100" s="40"/>
    </row>
    <row r="101" spans="1:14" ht="15.75">
      <c r="A101" s="11">
        <f t="shared" si="5"/>
        <v>95</v>
      </c>
      <c r="B101" s="19" t="s">
        <v>647</v>
      </c>
      <c r="C101" s="19" t="s">
        <v>942</v>
      </c>
      <c r="D101" s="19">
        <v>101815</v>
      </c>
      <c r="E101" s="305" t="s">
        <v>648</v>
      </c>
      <c r="F101" s="14">
        <v>52.5</v>
      </c>
      <c r="G101" s="20">
        <v>50</v>
      </c>
      <c r="H101" s="21">
        <v>2.5</v>
      </c>
      <c r="I101" s="14"/>
      <c r="J101" s="18">
        <f t="shared" si="3"/>
        <v>52.5</v>
      </c>
      <c r="K101" s="32"/>
      <c r="L101" s="33">
        <f t="shared" si="4"/>
        <v>0</v>
      </c>
      <c r="M101" s="215"/>
      <c r="N101" s="40"/>
    </row>
    <row r="102" spans="1:14" ht="15.75">
      <c r="A102" s="11">
        <f t="shared" si="5"/>
        <v>96</v>
      </c>
      <c r="B102" s="19" t="s">
        <v>0</v>
      </c>
      <c r="C102" s="19" t="s">
        <v>942</v>
      </c>
      <c r="D102" s="19">
        <v>101623</v>
      </c>
      <c r="E102" s="302" t="s">
        <v>962</v>
      </c>
      <c r="F102" s="14">
        <v>52.5</v>
      </c>
      <c r="G102" s="74">
        <v>50</v>
      </c>
      <c r="H102" s="75">
        <v>2.5</v>
      </c>
      <c r="I102" s="14"/>
      <c r="J102" s="18">
        <f>SUM(G102+H102+I102)</f>
        <v>52.5</v>
      </c>
      <c r="K102" s="32"/>
      <c r="L102" s="36">
        <f>+(F102-((SUM(J102+K102))))</f>
        <v>0</v>
      </c>
      <c r="M102" s="215"/>
      <c r="N102" s="6"/>
    </row>
    <row r="103" spans="1:14" ht="15.75">
      <c r="A103" s="11">
        <f t="shared" si="5"/>
        <v>97</v>
      </c>
      <c r="B103" s="19" t="s">
        <v>419</v>
      </c>
      <c r="C103" s="19" t="s">
        <v>942</v>
      </c>
      <c r="D103" s="19">
        <v>105230</v>
      </c>
      <c r="E103" s="305" t="s">
        <v>963</v>
      </c>
      <c r="F103" s="14">
        <v>120</v>
      </c>
      <c r="G103" s="74">
        <v>114.29</v>
      </c>
      <c r="H103" s="75">
        <v>5.71</v>
      </c>
      <c r="I103" s="14"/>
      <c r="J103" s="18">
        <f>SUM(G103+H103+I103)</f>
        <v>120</v>
      </c>
      <c r="K103" s="32"/>
      <c r="L103" s="33">
        <f>+(F103-((SUM(J103+K103))))</f>
        <v>0</v>
      </c>
      <c r="M103" s="37"/>
      <c r="N103" s="40"/>
    </row>
    <row r="104" spans="1:14" ht="15.75">
      <c r="A104" s="11">
        <f t="shared" si="5"/>
        <v>98</v>
      </c>
      <c r="B104" s="19" t="s">
        <v>649</v>
      </c>
      <c r="C104" s="19" t="s">
        <v>942</v>
      </c>
      <c r="D104" s="19">
        <v>101803</v>
      </c>
      <c r="E104" s="302" t="s">
        <v>650</v>
      </c>
      <c r="F104" s="14">
        <v>52.5</v>
      </c>
      <c r="G104" s="74">
        <v>50</v>
      </c>
      <c r="H104" s="54">
        <v>2.5</v>
      </c>
      <c r="I104" s="14"/>
      <c r="J104" s="18">
        <f t="shared" si="3"/>
        <v>52.5</v>
      </c>
      <c r="K104" s="32"/>
      <c r="L104" s="33">
        <f t="shared" ref="L104:L187" si="7">+(F104-((SUM(J104+K104))))</f>
        <v>0</v>
      </c>
      <c r="M104" s="37"/>
      <c r="N104" s="40"/>
    </row>
    <row r="105" spans="1:14" ht="15.75">
      <c r="A105" s="11">
        <f t="shared" si="5"/>
        <v>99</v>
      </c>
      <c r="B105" s="19" t="s">
        <v>651</v>
      </c>
      <c r="C105" s="212" t="s">
        <v>942</v>
      </c>
      <c r="D105" s="19">
        <v>101793</v>
      </c>
      <c r="E105" s="305" t="s">
        <v>652</v>
      </c>
      <c r="F105" s="14">
        <v>52.5</v>
      </c>
      <c r="G105" s="74">
        <v>50</v>
      </c>
      <c r="H105" s="75">
        <v>2.5</v>
      </c>
      <c r="I105" s="14"/>
      <c r="J105" s="18">
        <f t="shared" si="3"/>
        <v>52.5</v>
      </c>
      <c r="K105" s="32"/>
      <c r="L105" s="33">
        <f t="shared" si="7"/>
        <v>0</v>
      </c>
      <c r="M105" s="215"/>
      <c r="N105" s="40"/>
    </row>
    <row r="106" spans="1:14" ht="15.75">
      <c r="A106" s="11">
        <f t="shared" si="5"/>
        <v>100</v>
      </c>
      <c r="B106" s="224" t="s">
        <v>653</v>
      </c>
      <c r="C106" s="19" t="s">
        <v>942</v>
      </c>
      <c r="D106" s="19">
        <v>101728</v>
      </c>
      <c r="E106" s="305" t="s">
        <v>654</v>
      </c>
      <c r="F106" s="14">
        <v>52.5</v>
      </c>
      <c r="G106" s="20">
        <v>50</v>
      </c>
      <c r="H106" s="21">
        <v>2.5</v>
      </c>
      <c r="I106" s="14"/>
      <c r="J106" s="18">
        <f t="shared" si="3"/>
        <v>52.5</v>
      </c>
      <c r="K106" s="32"/>
      <c r="L106" s="33">
        <f t="shared" si="7"/>
        <v>0</v>
      </c>
      <c r="M106" s="215"/>
      <c r="N106" s="195"/>
    </row>
    <row r="107" spans="1:14" ht="15.75">
      <c r="A107" s="11">
        <f t="shared" si="5"/>
        <v>101</v>
      </c>
      <c r="B107" s="19" t="s">
        <v>655</v>
      </c>
      <c r="C107" s="19" t="s">
        <v>942</v>
      </c>
      <c r="D107" s="19">
        <v>101055</v>
      </c>
      <c r="E107" s="302" t="s">
        <v>656</v>
      </c>
      <c r="F107" s="14">
        <v>52.5</v>
      </c>
      <c r="G107" s="53">
        <v>50</v>
      </c>
      <c r="H107" s="54">
        <v>2.5</v>
      </c>
      <c r="I107" s="14"/>
      <c r="J107" s="18">
        <f t="shared" si="3"/>
        <v>52.5</v>
      </c>
      <c r="K107" s="32"/>
      <c r="L107" s="33">
        <f t="shared" si="7"/>
        <v>0</v>
      </c>
      <c r="M107" s="215"/>
      <c r="N107" s="194"/>
    </row>
    <row r="108" spans="1:14" ht="15.75">
      <c r="A108" s="11">
        <f t="shared" si="5"/>
        <v>102</v>
      </c>
      <c r="B108" s="19" t="s">
        <v>657</v>
      </c>
      <c r="C108" s="19"/>
      <c r="D108" s="19"/>
      <c r="E108" s="302" t="s">
        <v>658</v>
      </c>
      <c r="F108" s="14">
        <v>105</v>
      </c>
      <c r="G108" s="53">
        <v>100</v>
      </c>
      <c r="H108" s="54">
        <v>5</v>
      </c>
      <c r="I108" s="14"/>
      <c r="J108" s="18">
        <f t="shared" si="3"/>
        <v>105</v>
      </c>
      <c r="K108" s="32"/>
      <c r="L108" s="33">
        <f t="shared" si="7"/>
        <v>0</v>
      </c>
      <c r="M108" s="215"/>
      <c r="N108" s="6" t="s">
        <v>539</v>
      </c>
    </row>
    <row r="109" spans="1:14" ht="15.75">
      <c r="A109" s="11">
        <f t="shared" si="5"/>
        <v>103</v>
      </c>
      <c r="B109" s="30" t="s">
        <v>659</v>
      </c>
      <c r="C109" s="19" t="s">
        <v>942</v>
      </c>
      <c r="D109" s="19">
        <v>101600</v>
      </c>
      <c r="E109" s="309" t="s">
        <v>660</v>
      </c>
      <c r="F109" s="14">
        <v>311.25</v>
      </c>
      <c r="G109" s="74">
        <v>100</v>
      </c>
      <c r="H109" s="75">
        <v>5</v>
      </c>
      <c r="I109" s="249">
        <v>206.25</v>
      </c>
      <c r="J109" s="18">
        <f t="shared" si="3"/>
        <v>311.25</v>
      </c>
      <c r="K109" s="35"/>
      <c r="L109" s="36">
        <f t="shared" si="7"/>
        <v>0</v>
      </c>
      <c r="M109" s="215"/>
      <c r="N109" s="6" t="s">
        <v>542</v>
      </c>
    </row>
    <row r="110" spans="1:14" ht="15.75">
      <c r="A110" s="11">
        <f t="shared" si="5"/>
        <v>104</v>
      </c>
      <c r="B110" s="19" t="s">
        <v>662</v>
      </c>
      <c r="C110" s="19" t="s">
        <v>942</v>
      </c>
      <c r="D110" s="19">
        <v>101809</v>
      </c>
      <c r="E110" s="305" t="s">
        <v>663</v>
      </c>
      <c r="F110" s="14">
        <v>360</v>
      </c>
      <c r="G110" s="74">
        <v>200</v>
      </c>
      <c r="H110" s="75">
        <v>10</v>
      </c>
      <c r="I110" s="14">
        <v>150</v>
      </c>
      <c r="J110" s="18">
        <f t="shared" si="3"/>
        <v>360</v>
      </c>
      <c r="K110" s="32"/>
      <c r="L110" s="33">
        <f t="shared" si="7"/>
        <v>0</v>
      </c>
      <c r="M110" s="215"/>
      <c r="N110" s="40"/>
    </row>
    <row r="111" spans="1:14" ht="15.75">
      <c r="A111" s="11">
        <f t="shared" si="5"/>
        <v>105</v>
      </c>
      <c r="B111" s="30" t="s">
        <v>664</v>
      </c>
      <c r="C111" s="19" t="s">
        <v>942</v>
      </c>
      <c r="D111" s="19">
        <v>101721</v>
      </c>
      <c r="E111" s="308" t="s">
        <v>665</v>
      </c>
      <c r="F111" s="14">
        <v>105</v>
      </c>
      <c r="G111" s="74">
        <v>100</v>
      </c>
      <c r="H111" s="75">
        <v>5</v>
      </c>
      <c r="I111" s="249"/>
      <c r="J111" s="18">
        <f t="shared" si="3"/>
        <v>105</v>
      </c>
      <c r="K111" s="32"/>
      <c r="L111" s="33">
        <f>+(F111-((SUM(J111+K111))))</f>
        <v>0</v>
      </c>
      <c r="M111" s="215"/>
      <c r="N111" s="6"/>
    </row>
    <row r="112" spans="1:14" ht="15.75">
      <c r="A112" s="11">
        <f t="shared" si="5"/>
        <v>106</v>
      </c>
      <c r="B112" s="19" t="s">
        <v>666</v>
      </c>
      <c r="C112" s="19" t="s">
        <v>942</v>
      </c>
      <c r="D112" s="19">
        <v>101189</v>
      </c>
      <c r="E112" s="302" t="s">
        <v>89</v>
      </c>
      <c r="F112" s="14">
        <v>52.5</v>
      </c>
      <c r="G112" s="74">
        <v>50</v>
      </c>
      <c r="H112" s="75">
        <v>2.5</v>
      </c>
      <c r="I112" s="14"/>
      <c r="J112" s="18">
        <f t="shared" si="3"/>
        <v>52.5</v>
      </c>
      <c r="K112" s="32"/>
      <c r="L112" s="33">
        <f t="shared" si="7"/>
        <v>0</v>
      </c>
      <c r="M112" s="215"/>
      <c r="N112" s="40"/>
    </row>
    <row r="113" spans="1:14" ht="15.75">
      <c r="A113" s="11">
        <f t="shared" si="5"/>
        <v>107</v>
      </c>
      <c r="B113" s="30" t="s">
        <v>667</v>
      </c>
      <c r="C113" s="19" t="s">
        <v>942</v>
      </c>
      <c r="D113" s="212">
        <v>101571</v>
      </c>
      <c r="E113" s="308" t="s">
        <v>668</v>
      </c>
      <c r="F113" s="14">
        <v>52.5</v>
      </c>
      <c r="G113" s="26">
        <v>50</v>
      </c>
      <c r="H113" s="27">
        <v>2.5</v>
      </c>
      <c r="I113" s="249"/>
      <c r="J113" s="18">
        <f t="shared" si="3"/>
        <v>52.5</v>
      </c>
      <c r="K113" s="35"/>
      <c r="L113" s="36">
        <f t="shared" si="7"/>
        <v>0</v>
      </c>
      <c r="M113" s="215"/>
      <c r="N113" s="40"/>
    </row>
    <row r="114" spans="1:14" ht="15.75">
      <c r="A114" s="11">
        <f t="shared" si="5"/>
        <v>108</v>
      </c>
      <c r="B114" s="19" t="s">
        <v>669</v>
      </c>
      <c r="C114" s="19" t="s">
        <v>942</v>
      </c>
      <c r="D114" s="19">
        <v>101662</v>
      </c>
      <c r="E114" s="305" t="s">
        <v>262</v>
      </c>
      <c r="F114" s="14">
        <v>52.5</v>
      </c>
      <c r="G114" s="74">
        <v>50</v>
      </c>
      <c r="H114" s="75">
        <v>2.5</v>
      </c>
      <c r="I114" s="14"/>
      <c r="J114" s="18">
        <f t="shared" si="3"/>
        <v>52.5</v>
      </c>
      <c r="K114" s="32"/>
      <c r="L114" s="33">
        <f t="shared" si="7"/>
        <v>0</v>
      </c>
      <c r="M114" s="215"/>
      <c r="N114" s="40"/>
    </row>
    <row r="115" spans="1:14" ht="15.75">
      <c r="A115" s="11">
        <f t="shared" si="5"/>
        <v>109</v>
      </c>
      <c r="B115" s="30" t="s">
        <v>670</v>
      </c>
      <c r="C115" s="19" t="s">
        <v>942</v>
      </c>
      <c r="D115" s="19">
        <v>101515</v>
      </c>
      <c r="E115" s="308" t="s">
        <v>671</v>
      </c>
      <c r="F115" s="14">
        <v>210</v>
      </c>
      <c r="G115" s="26">
        <v>200</v>
      </c>
      <c r="H115" s="27">
        <v>10</v>
      </c>
      <c r="I115" s="248"/>
      <c r="J115" s="18">
        <f t="shared" si="3"/>
        <v>210</v>
      </c>
      <c r="K115" s="35"/>
      <c r="L115" s="36">
        <f t="shared" si="7"/>
        <v>0</v>
      </c>
      <c r="M115" s="37"/>
      <c r="N115" s="195"/>
    </row>
    <row r="116" spans="1:14" ht="15.75">
      <c r="A116" s="11">
        <f t="shared" si="5"/>
        <v>110</v>
      </c>
      <c r="B116" s="19" t="s">
        <v>672</v>
      </c>
      <c r="C116" s="19" t="s">
        <v>942</v>
      </c>
      <c r="D116" s="19">
        <v>101483</v>
      </c>
      <c r="E116" s="302" t="s">
        <v>140</v>
      </c>
      <c r="F116" s="14">
        <v>840</v>
      </c>
      <c r="G116" s="20">
        <v>800</v>
      </c>
      <c r="H116" s="21">
        <v>40</v>
      </c>
      <c r="I116" s="14"/>
      <c r="J116" s="18">
        <f t="shared" si="3"/>
        <v>840</v>
      </c>
      <c r="K116" s="32"/>
      <c r="L116" s="33">
        <f t="shared" si="7"/>
        <v>0</v>
      </c>
      <c r="M116" s="37"/>
      <c r="N116" s="194"/>
    </row>
    <row r="117" spans="1:14" ht="15.75">
      <c r="A117" s="11">
        <f t="shared" si="5"/>
        <v>111</v>
      </c>
      <c r="B117" s="19" t="s">
        <v>673</v>
      </c>
      <c r="C117" s="19" t="s">
        <v>942</v>
      </c>
      <c r="D117" s="19">
        <v>101607</v>
      </c>
      <c r="E117" s="305" t="s">
        <v>674</v>
      </c>
      <c r="F117" s="14">
        <v>52.5</v>
      </c>
      <c r="G117" s="74">
        <v>50</v>
      </c>
      <c r="H117" s="75">
        <v>2.5</v>
      </c>
      <c r="I117" s="14"/>
      <c r="J117" s="18">
        <f t="shared" si="3"/>
        <v>52.5</v>
      </c>
      <c r="K117" s="32"/>
      <c r="L117" s="33">
        <f t="shared" si="7"/>
        <v>0</v>
      </c>
      <c r="M117" s="215"/>
      <c r="N117" s="6" t="s">
        <v>557</v>
      </c>
    </row>
    <row r="118" spans="1:14" ht="15.75">
      <c r="A118" s="11">
        <f t="shared" si="5"/>
        <v>112</v>
      </c>
      <c r="B118" s="19" t="s">
        <v>828</v>
      </c>
      <c r="C118" s="19" t="s">
        <v>942</v>
      </c>
      <c r="D118" s="19">
        <v>101094</v>
      </c>
      <c r="E118" s="305" t="s">
        <v>829</v>
      </c>
      <c r="F118" s="14">
        <v>162.1</v>
      </c>
      <c r="G118" s="53">
        <v>100</v>
      </c>
      <c r="H118" s="54">
        <v>5</v>
      </c>
      <c r="I118" s="248">
        <v>57.1</v>
      </c>
      <c r="J118" s="18">
        <f t="shared" si="3"/>
        <v>162.1</v>
      </c>
      <c r="K118" s="32"/>
      <c r="L118" s="33">
        <f>+(F118-((SUM(J118+K118))))</f>
        <v>0</v>
      </c>
      <c r="M118" s="37"/>
      <c r="N118" s="6" t="s">
        <v>559</v>
      </c>
    </row>
    <row r="119" spans="1:14" ht="15.75">
      <c r="A119" s="11">
        <f t="shared" si="5"/>
        <v>113</v>
      </c>
      <c r="B119" s="30" t="s">
        <v>830</v>
      </c>
      <c r="C119" s="19" t="s">
        <v>942</v>
      </c>
      <c r="D119" s="19">
        <v>101027</v>
      </c>
      <c r="E119" s="309" t="s">
        <v>290</v>
      </c>
      <c r="F119" s="249">
        <v>217.06</v>
      </c>
      <c r="G119" s="74">
        <v>100</v>
      </c>
      <c r="H119" s="75">
        <v>5</v>
      </c>
      <c r="I119" s="248">
        <v>87.06</v>
      </c>
      <c r="J119" s="18">
        <f t="shared" si="3"/>
        <v>192.06</v>
      </c>
      <c r="K119" s="77">
        <v>25</v>
      </c>
      <c r="L119" s="33">
        <f>+(F119-((SUM(J119+K119))))</f>
        <v>0</v>
      </c>
      <c r="M119" s="37" t="s">
        <v>947</v>
      </c>
      <c r="N119" s="6"/>
    </row>
    <row r="120" spans="1:14" ht="15.75">
      <c r="A120" s="11">
        <f t="shared" si="5"/>
        <v>114</v>
      </c>
      <c r="B120" s="19" t="s">
        <v>675</v>
      </c>
      <c r="C120" s="19" t="s">
        <v>942</v>
      </c>
      <c r="D120" s="19">
        <v>101516</v>
      </c>
      <c r="E120" s="302" t="s">
        <v>676</v>
      </c>
      <c r="F120" s="14">
        <v>210</v>
      </c>
      <c r="G120" s="20">
        <v>200</v>
      </c>
      <c r="H120" s="21">
        <v>10</v>
      </c>
      <c r="I120" s="248"/>
      <c r="J120" s="18">
        <f t="shared" si="3"/>
        <v>210</v>
      </c>
      <c r="K120" s="32"/>
      <c r="L120" s="33">
        <f t="shared" si="7"/>
        <v>0</v>
      </c>
      <c r="M120" s="37"/>
    </row>
    <row r="121" spans="1:14" ht="15.75">
      <c r="A121" s="11">
        <f t="shared" si="5"/>
        <v>115</v>
      </c>
      <c r="B121" s="19" t="s">
        <v>677</v>
      </c>
      <c r="C121" s="19" t="s">
        <v>942</v>
      </c>
      <c r="D121" s="19">
        <v>101634</v>
      </c>
      <c r="E121" s="305" t="s">
        <v>678</v>
      </c>
      <c r="F121" s="14">
        <v>355</v>
      </c>
      <c r="G121" s="74">
        <v>200</v>
      </c>
      <c r="H121" s="75">
        <v>10</v>
      </c>
      <c r="I121" s="14">
        <v>145</v>
      </c>
      <c r="J121" s="18">
        <f t="shared" si="3"/>
        <v>355</v>
      </c>
      <c r="K121" s="32"/>
      <c r="L121" s="33">
        <f t="shared" si="7"/>
        <v>0</v>
      </c>
      <c r="M121" s="215"/>
    </row>
    <row r="122" spans="1:14" ht="15.75">
      <c r="A122" s="11">
        <f t="shared" si="5"/>
        <v>116</v>
      </c>
      <c r="B122" s="19" t="s">
        <v>679</v>
      </c>
      <c r="C122" s="19" t="s">
        <v>942</v>
      </c>
      <c r="D122" s="19">
        <v>101067</v>
      </c>
      <c r="E122" s="305" t="s">
        <v>77</v>
      </c>
      <c r="F122" s="14">
        <v>105</v>
      </c>
      <c r="G122" s="74">
        <v>100</v>
      </c>
      <c r="H122" s="75">
        <v>5</v>
      </c>
      <c r="I122" s="14"/>
      <c r="J122" s="18">
        <f t="shared" si="3"/>
        <v>105</v>
      </c>
      <c r="K122" s="32"/>
      <c r="L122" s="33">
        <f t="shared" si="7"/>
        <v>0</v>
      </c>
      <c r="M122" s="37"/>
    </row>
    <row r="123" spans="1:14" ht="15.75">
      <c r="A123" s="11">
        <f t="shared" si="5"/>
        <v>117</v>
      </c>
      <c r="B123" s="19" t="s">
        <v>680</v>
      </c>
      <c r="C123" s="19" t="s">
        <v>942</v>
      </c>
      <c r="D123" s="19">
        <v>101565</v>
      </c>
      <c r="E123" s="302" t="s">
        <v>681</v>
      </c>
      <c r="F123" s="14">
        <v>210</v>
      </c>
      <c r="G123" s="20">
        <v>200</v>
      </c>
      <c r="H123" s="21">
        <v>10</v>
      </c>
      <c r="I123" s="14"/>
      <c r="J123" s="18">
        <f t="shared" si="3"/>
        <v>210</v>
      </c>
      <c r="K123" s="32"/>
      <c r="L123" s="33">
        <f t="shared" si="7"/>
        <v>0</v>
      </c>
      <c r="M123" s="215"/>
    </row>
    <row r="124" spans="1:14" ht="15.75">
      <c r="A124" s="11">
        <f t="shared" si="5"/>
        <v>118</v>
      </c>
      <c r="B124" s="30" t="s">
        <v>682</v>
      </c>
      <c r="C124" s="19" t="s">
        <v>942</v>
      </c>
      <c r="D124" s="19">
        <v>101886</v>
      </c>
      <c r="E124" s="309" t="s">
        <v>683</v>
      </c>
      <c r="F124" s="14">
        <v>120</v>
      </c>
      <c r="G124" s="74">
        <v>114.29</v>
      </c>
      <c r="H124" s="75">
        <v>5.71</v>
      </c>
      <c r="I124" s="249"/>
      <c r="J124" s="18">
        <f t="shared" si="3"/>
        <v>120</v>
      </c>
      <c r="K124" s="35"/>
      <c r="L124" s="33">
        <f t="shared" si="7"/>
        <v>0</v>
      </c>
      <c r="M124" s="37"/>
    </row>
    <row r="125" spans="1:14" ht="15.75">
      <c r="A125" s="11">
        <f t="shared" si="5"/>
        <v>119</v>
      </c>
      <c r="B125" s="19" t="s">
        <v>684</v>
      </c>
      <c r="C125" s="19" t="s">
        <v>942</v>
      </c>
      <c r="D125" s="19">
        <v>101066</v>
      </c>
      <c r="E125" s="305" t="s">
        <v>84</v>
      </c>
      <c r="F125" s="14">
        <v>134.58000000000001</v>
      </c>
      <c r="G125" s="26">
        <v>100</v>
      </c>
      <c r="H125" s="27">
        <v>5</v>
      </c>
      <c r="I125" s="14">
        <v>29.58</v>
      </c>
      <c r="J125" s="18">
        <f t="shared" si="3"/>
        <v>134.57999999999998</v>
      </c>
      <c r="K125" s="32"/>
      <c r="L125" s="33">
        <f t="shared" si="7"/>
        <v>2.8421709430404007E-14</v>
      </c>
      <c r="M125" s="215"/>
    </row>
    <row r="126" spans="1:14" ht="15.75">
      <c r="A126" s="11">
        <f t="shared" si="5"/>
        <v>120</v>
      </c>
      <c r="B126" s="19" t="s">
        <v>685</v>
      </c>
      <c r="C126" s="19" t="s">
        <v>942</v>
      </c>
      <c r="D126" s="19">
        <v>101684</v>
      </c>
      <c r="E126" s="305" t="s">
        <v>346</v>
      </c>
      <c r="F126" s="14">
        <v>52.5</v>
      </c>
      <c r="G126" s="74">
        <v>50</v>
      </c>
      <c r="H126" s="75">
        <v>2.5</v>
      </c>
      <c r="I126" s="14"/>
      <c r="J126" s="18">
        <f t="shared" si="3"/>
        <v>52.5</v>
      </c>
      <c r="K126" s="32"/>
      <c r="L126" s="33">
        <f t="shared" si="7"/>
        <v>0</v>
      </c>
      <c r="M126" s="215"/>
    </row>
    <row r="127" spans="1:14" ht="15.75">
      <c r="A127" s="11">
        <f t="shared" si="5"/>
        <v>121</v>
      </c>
      <c r="B127" s="19" t="s">
        <v>63</v>
      </c>
      <c r="C127" s="19" t="s">
        <v>942</v>
      </c>
      <c r="D127" s="19">
        <v>101825</v>
      </c>
      <c r="E127" s="302" t="s">
        <v>686</v>
      </c>
      <c r="F127" s="14">
        <v>131.25</v>
      </c>
      <c r="G127" s="53">
        <v>100</v>
      </c>
      <c r="H127" s="54">
        <v>5</v>
      </c>
      <c r="I127" s="14">
        <v>26.25</v>
      </c>
      <c r="J127" s="18">
        <f t="shared" si="3"/>
        <v>131.25</v>
      </c>
      <c r="K127" s="32"/>
      <c r="L127" s="33">
        <f t="shared" si="7"/>
        <v>0</v>
      </c>
      <c r="M127" s="37"/>
    </row>
    <row r="128" spans="1:14" ht="15.75">
      <c r="A128" s="11">
        <f t="shared" si="5"/>
        <v>122</v>
      </c>
      <c r="B128" s="19" t="s">
        <v>5</v>
      </c>
      <c r="C128" s="19" t="s">
        <v>942</v>
      </c>
      <c r="D128" s="19">
        <v>101738</v>
      </c>
      <c r="E128" s="309" t="s">
        <v>687</v>
      </c>
      <c r="F128" s="14">
        <v>105</v>
      </c>
      <c r="G128" s="20">
        <v>100</v>
      </c>
      <c r="H128" s="21">
        <v>5</v>
      </c>
      <c r="I128" s="14"/>
      <c r="J128" s="18">
        <f t="shared" si="3"/>
        <v>105</v>
      </c>
      <c r="K128" s="32"/>
      <c r="L128" s="33">
        <f t="shared" si="7"/>
        <v>0</v>
      </c>
      <c r="M128" s="215"/>
      <c r="N128" s="6"/>
    </row>
    <row r="129" spans="1:14" ht="15.75">
      <c r="A129" s="11">
        <f t="shared" si="5"/>
        <v>123</v>
      </c>
      <c r="B129" s="19" t="s">
        <v>688</v>
      </c>
      <c r="C129" s="19" t="s">
        <v>942</v>
      </c>
      <c r="D129" s="19">
        <v>101808</v>
      </c>
      <c r="E129" s="302" t="s">
        <v>689</v>
      </c>
      <c r="F129" s="14">
        <v>105</v>
      </c>
      <c r="G129" s="74">
        <v>100</v>
      </c>
      <c r="H129" s="54">
        <v>5</v>
      </c>
      <c r="I129" s="14"/>
      <c r="J129" s="18">
        <f t="shared" si="3"/>
        <v>105</v>
      </c>
      <c r="K129" s="32"/>
      <c r="L129" s="33">
        <f t="shared" si="7"/>
        <v>0</v>
      </c>
      <c r="M129" s="37"/>
      <c r="N129" s="6"/>
    </row>
    <row r="130" spans="1:14" ht="15.75">
      <c r="A130" s="11">
        <f t="shared" si="5"/>
        <v>124</v>
      </c>
      <c r="B130" s="19" t="s">
        <v>690</v>
      </c>
      <c r="C130" s="19" t="s">
        <v>942</v>
      </c>
      <c r="D130" s="19">
        <v>101756</v>
      </c>
      <c r="E130" s="302" t="s">
        <v>965</v>
      </c>
      <c r="F130" s="14">
        <v>262.5</v>
      </c>
      <c r="G130" s="53">
        <v>250</v>
      </c>
      <c r="H130" s="54">
        <v>12.5</v>
      </c>
      <c r="I130" s="14"/>
      <c r="J130" s="18">
        <f t="shared" si="3"/>
        <v>262.5</v>
      </c>
      <c r="K130" s="32"/>
      <c r="L130" s="33">
        <f t="shared" si="7"/>
        <v>0</v>
      </c>
      <c r="M130" s="37"/>
      <c r="N130" s="6"/>
    </row>
    <row r="131" spans="1:14" ht="15.75">
      <c r="A131" s="11">
        <f t="shared" si="5"/>
        <v>125</v>
      </c>
      <c r="B131" s="19" t="s">
        <v>822</v>
      </c>
      <c r="C131" s="19" t="s">
        <v>942</v>
      </c>
      <c r="D131" s="19">
        <v>101042</v>
      </c>
      <c r="E131" s="302" t="s">
        <v>823</v>
      </c>
      <c r="F131" s="14">
        <v>105</v>
      </c>
      <c r="G131" s="53">
        <v>100</v>
      </c>
      <c r="H131" s="54">
        <v>5</v>
      </c>
      <c r="I131" s="248"/>
      <c r="J131" s="18">
        <f t="shared" si="3"/>
        <v>105</v>
      </c>
      <c r="K131" s="77"/>
      <c r="L131" s="33">
        <f>+(F131-((SUM(J131+K131))))</f>
        <v>0</v>
      </c>
      <c r="M131" s="37"/>
      <c r="N131" s="6"/>
    </row>
    <row r="132" spans="1:14" ht="15.75">
      <c r="A132" s="11">
        <f t="shared" si="5"/>
        <v>126</v>
      </c>
      <c r="B132" s="19" t="s">
        <v>51</v>
      </c>
      <c r="C132" s="19" t="s">
        <v>942</v>
      </c>
      <c r="D132" s="19">
        <v>101736</v>
      </c>
      <c r="E132" s="302" t="s">
        <v>692</v>
      </c>
      <c r="F132" s="14">
        <v>52.5</v>
      </c>
      <c r="G132" s="53">
        <v>50</v>
      </c>
      <c r="H132" s="54">
        <v>2.5</v>
      </c>
      <c r="I132" s="14"/>
      <c r="J132" s="18">
        <f t="shared" si="3"/>
        <v>52.5</v>
      </c>
      <c r="K132" s="32"/>
      <c r="L132" s="33">
        <f t="shared" si="7"/>
        <v>0</v>
      </c>
      <c r="M132" s="37"/>
      <c r="N132" s="6"/>
    </row>
    <row r="133" spans="1:14" ht="15.75">
      <c r="A133" s="11">
        <f t="shared" si="5"/>
        <v>127</v>
      </c>
      <c r="B133" s="19" t="s">
        <v>41</v>
      </c>
      <c r="C133" s="19" t="s">
        <v>942</v>
      </c>
      <c r="D133" s="19">
        <v>101741</v>
      </c>
      <c r="E133" s="302" t="s">
        <v>695</v>
      </c>
      <c r="F133" s="14">
        <v>105</v>
      </c>
      <c r="G133" s="53">
        <v>100</v>
      </c>
      <c r="H133" s="54">
        <v>5</v>
      </c>
      <c r="I133" s="250"/>
      <c r="J133" s="18">
        <f t="shared" si="3"/>
        <v>105</v>
      </c>
      <c r="K133" s="32"/>
      <c r="L133" s="33">
        <f t="shared" si="7"/>
        <v>0</v>
      </c>
      <c r="M133" s="37"/>
      <c r="N133" s="40"/>
    </row>
    <row r="134" spans="1:14" ht="15.75">
      <c r="A134" s="11">
        <f t="shared" si="5"/>
        <v>128</v>
      </c>
      <c r="B134" s="19" t="s">
        <v>696</v>
      </c>
      <c r="C134" s="19" t="s">
        <v>942</v>
      </c>
      <c r="D134" s="19">
        <v>101705</v>
      </c>
      <c r="E134" s="302" t="s">
        <v>697</v>
      </c>
      <c r="F134" s="14">
        <v>210</v>
      </c>
      <c r="G134" s="74">
        <v>200</v>
      </c>
      <c r="H134" s="54">
        <v>10</v>
      </c>
      <c r="I134" s="14"/>
      <c r="J134" s="18">
        <f t="shared" si="3"/>
        <v>210</v>
      </c>
      <c r="K134" s="32"/>
      <c r="L134" s="33">
        <f t="shared" si="7"/>
        <v>0</v>
      </c>
      <c r="M134" s="37"/>
      <c r="N134" s="40"/>
    </row>
    <row r="135" spans="1:14" ht="15.75">
      <c r="A135" s="11">
        <f t="shared" si="5"/>
        <v>129</v>
      </c>
      <c r="B135" s="116" t="s">
        <v>698</v>
      </c>
      <c r="C135" s="19" t="s">
        <v>942</v>
      </c>
      <c r="D135" s="19">
        <v>105069</v>
      </c>
      <c r="E135" s="302" t="s">
        <v>699</v>
      </c>
      <c r="F135" s="14">
        <v>105</v>
      </c>
      <c r="G135" s="74">
        <v>100</v>
      </c>
      <c r="H135" s="54">
        <v>5</v>
      </c>
      <c r="I135" s="14"/>
      <c r="J135" s="18">
        <f t="shared" si="3"/>
        <v>105</v>
      </c>
      <c r="K135" s="32"/>
      <c r="L135" s="33">
        <f t="shared" si="7"/>
        <v>0</v>
      </c>
      <c r="M135" s="37"/>
      <c r="N135" s="6"/>
    </row>
    <row r="136" spans="1:14" ht="15.75">
      <c r="A136" s="11">
        <f t="shared" si="5"/>
        <v>130</v>
      </c>
      <c r="B136" s="116" t="s">
        <v>898</v>
      </c>
      <c r="C136" s="19" t="s">
        <v>942</v>
      </c>
      <c r="D136" s="19">
        <v>101880</v>
      </c>
      <c r="E136" s="302" t="s">
        <v>899</v>
      </c>
      <c r="F136" s="14">
        <v>52.5</v>
      </c>
      <c r="G136" s="74">
        <v>50</v>
      </c>
      <c r="H136" s="54">
        <v>2</v>
      </c>
      <c r="I136" s="14">
        <v>0.5</v>
      </c>
      <c r="J136" s="18">
        <f t="shared" si="3"/>
        <v>52.5</v>
      </c>
      <c r="K136" s="32"/>
      <c r="L136" s="33">
        <f>+(F136-((SUM(J136+K136))))</f>
        <v>0</v>
      </c>
      <c r="M136" s="37"/>
      <c r="N136" s="6"/>
    </row>
    <row r="137" spans="1:14" ht="15.75">
      <c r="A137" s="11">
        <f t="shared" ref="A137:A200" si="8">1+A136</f>
        <v>131</v>
      </c>
      <c r="B137" s="116" t="s">
        <v>700</v>
      </c>
      <c r="C137" s="19" t="s">
        <v>942</v>
      </c>
      <c r="D137" s="19">
        <v>105104</v>
      </c>
      <c r="E137" s="302" t="s">
        <v>701</v>
      </c>
      <c r="F137" s="14">
        <v>262</v>
      </c>
      <c r="G137" s="74">
        <v>200</v>
      </c>
      <c r="H137" s="54">
        <v>10</v>
      </c>
      <c r="I137" s="14"/>
      <c r="J137" s="18">
        <f t="shared" si="3"/>
        <v>210</v>
      </c>
      <c r="K137" s="32">
        <v>52</v>
      </c>
      <c r="L137" s="33">
        <f t="shared" si="7"/>
        <v>0</v>
      </c>
      <c r="M137" s="37" t="s">
        <v>980</v>
      </c>
      <c r="N137" s="6"/>
    </row>
    <row r="138" spans="1:14" ht="15.75">
      <c r="A138" s="11">
        <f t="shared" si="8"/>
        <v>132</v>
      </c>
      <c r="B138" s="132" t="s">
        <v>702</v>
      </c>
      <c r="C138" s="19" t="s">
        <v>942</v>
      </c>
      <c r="D138" s="197">
        <v>105145</v>
      </c>
      <c r="E138" s="302" t="s">
        <v>703</v>
      </c>
      <c r="F138" s="14">
        <v>52.5</v>
      </c>
      <c r="G138" s="238">
        <v>50</v>
      </c>
      <c r="H138" s="131">
        <v>2.5</v>
      </c>
      <c r="I138" s="14"/>
      <c r="J138" s="18">
        <f t="shared" ref="J138:J198" si="9">SUM(G138+H138+I138)</f>
        <v>52.5</v>
      </c>
      <c r="K138" s="32"/>
      <c r="L138" s="33">
        <f t="shared" si="7"/>
        <v>0</v>
      </c>
      <c r="M138" s="37"/>
      <c r="N138" s="6"/>
    </row>
    <row r="139" spans="1:14" ht="15.75">
      <c r="A139" s="11">
        <f t="shared" si="8"/>
        <v>133</v>
      </c>
      <c r="B139" s="132" t="s">
        <v>704</v>
      </c>
      <c r="C139" s="19" t="s">
        <v>942</v>
      </c>
      <c r="D139" s="197">
        <v>105134</v>
      </c>
      <c r="E139" s="302" t="s">
        <v>705</v>
      </c>
      <c r="F139" s="14">
        <v>52.5</v>
      </c>
      <c r="G139" s="238">
        <v>50</v>
      </c>
      <c r="H139" s="131">
        <v>2.5</v>
      </c>
      <c r="I139" s="14"/>
      <c r="J139" s="18">
        <f t="shared" si="9"/>
        <v>52.5</v>
      </c>
      <c r="K139" s="32"/>
      <c r="L139" s="33">
        <f t="shared" si="7"/>
        <v>0</v>
      </c>
      <c r="M139" s="37"/>
      <c r="N139" s="6"/>
    </row>
    <row r="140" spans="1:14" ht="15.75">
      <c r="A140" s="11">
        <f t="shared" si="8"/>
        <v>134</v>
      </c>
      <c r="B140" s="69" t="s">
        <v>834</v>
      </c>
      <c r="C140" s="145" t="s">
        <v>942</v>
      </c>
      <c r="D140" s="19">
        <v>101082</v>
      </c>
      <c r="E140" s="311" t="s">
        <v>280</v>
      </c>
      <c r="F140" s="264">
        <v>146.26</v>
      </c>
      <c r="G140" s="53">
        <v>100</v>
      </c>
      <c r="H140" s="71">
        <v>5</v>
      </c>
      <c r="I140" s="251">
        <v>31.26</v>
      </c>
      <c r="J140" s="18">
        <f t="shared" si="9"/>
        <v>136.26</v>
      </c>
      <c r="K140" s="73">
        <v>10</v>
      </c>
      <c r="L140" s="33">
        <f t="shared" si="7"/>
        <v>0</v>
      </c>
      <c r="M140" s="37" t="s">
        <v>947</v>
      </c>
      <c r="N140" s="40"/>
    </row>
    <row r="141" spans="1:14" ht="15.75">
      <c r="A141" s="11">
        <f t="shared" si="8"/>
        <v>135</v>
      </c>
      <c r="B141" s="19" t="s">
        <v>835</v>
      </c>
      <c r="C141" s="19" t="s">
        <v>942</v>
      </c>
      <c r="D141" s="19">
        <v>101033</v>
      </c>
      <c r="E141" s="302" t="s">
        <v>301</v>
      </c>
      <c r="F141" s="14">
        <v>117.32</v>
      </c>
      <c r="G141" s="53">
        <v>100</v>
      </c>
      <c r="H141" s="54">
        <v>5</v>
      </c>
      <c r="I141" s="248">
        <v>12.32</v>
      </c>
      <c r="J141" s="18">
        <f t="shared" si="9"/>
        <v>117.32</v>
      </c>
      <c r="K141" s="32"/>
      <c r="L141" s="33">
        <f t="shared" si="7"/>
        <v>0</v>
      </c>
      <c r="M141" s="37"/>
      <c r="N141" s="6"/>
    </row>
    <row r="142" spans="1:14" ht="15.75">
      <c r="A142" s="11">
        <f t="shared" si="8"/>
        <v>136</v>
      </c>
      <c r="B142" s="116" t="s">
        <v>888</v>
      </c>
      <c r="C142" s="19" t="s">
        <v>942</v>
      </c>
      <c r="D142" s="19">
        <v>101857</v>
      </c>
      <c r="E142" s="302" t="s">
        <v>889</v>
      </c>
      <c r="F142" s="14">
        <v>52.5</v>
      </c>
      <c r="G142" s="74">
        <v>50</v>
      </c>
      <c r="H142" s="54">
        <v>2.5</v>
      </c>
      <c r="I142" s="14"/>
      <c r="J142" s="18">
        <f t="shared" si="9"/>
        <v>52.5</v>
      </c>
      <c r="K142" s="32"/>
      <c r="L142" s="33">
        <f t="shared" si="7"/>
        <v>0</v>
      </c>
      <c r="M142" s="37"/>
      <c r="N142" s="6"/>
    </row>
    <row r="143" spans="1:14" ht="15.75">
      <c r="A143" s="11">
        <f t="shared" si="8"/>
        <v>137</v>
      </c>
      <c r="B143" s="116" t="s">
        <v>890</v>
      </c>
      <c r="C143" s="19" t="s">
        <v>942</v>
      </c>
      <c r="D143" s="19">
        <v>101861</v>
      </c>
      <c r="E143" s="302" t="s">
        <v>891</v>
      </c>
      <c r="F143" s="14">
        <v>526.99</v>
      </c>
      <c r="G143" s="74">
        <v>100</v>
      </c>
      <c r="H143" s="54">
        <v>5</v>
      </c>
      <c r="I143" s="14">
        <v>421.99</v>
      </c>
      <c r="J143" s="18">
        <f t="shared" si="9"/>
        <v>526.99</v>
      </c>
      <c r="K143" s="32"/>
      <c r="L143" s="33">
        <f t="shared" si="7"/>
        <v>0</v>
      </c>
      <c r="M143" s="37"/>
      <c r="N143" s="6"/>
    </row>
    <row r="144" spans="1:14" ht="15.75">
      <c r="A144" s="11">
        <f t="shared" si="8"/>
        <v>138</v>
      </c>
      <c r="B144" s="19" t="s">
        <v>850</v>
      </c>
      <c r="C144" s="19" t="s">
        <v>942</v>
      </c>
      <c r="D144" s="19">
        <v>101730</v>
      </c>
      <c r="E144" s="305" t="s">
        <v>851</v>
      </c>
      <c r="F144" s="14">
        <v>52.5</v>
      </c>
      <c r="G144" s="20">
        <v>50</v>
      </c>
      <c r="H144" s="21">
        <v>2.5</v>
      </c>
      <c r="I144" s="62"/>
      <c r="J144" s="18">
        <f t="shared" si="9"/>
        <v>52.5</v>
      </c>
      <c r="K144" s="32"/>
      <c r="L144" s="33">
        <f t="shared" si="7"/>
        <v>0</v>
      </c>
      <c r="M144" s="37"/>
      <c r="N144" s="6"/>
    </row>
    <row r="145" spans="1:14" ht="15.75">
      <c r="A145" s="11">
        <f t="shared" si="8"/>
        <v>139</v>
      </c>
      <c r="B145" s="19" t="s">
        <v>852</v>
      </c>
      <c r="C145" s="19" t="s">
        <v>942</v>
      </c>
      <c r="D145" s="19">
        <v>101724</v>
      </c>
      <c r="E145" s="305" t="s">
        <v>853</v>
      </c>
      <c r="F145" s="14">
        <v>155.1</v>
      </c>
      <c r="G145" s="20">
        <v>100</v>
      </c>
      <c r="H145" s="21">
        <v>5</v>
      </c>
      <c r="I145" s="252">
        <v>50.1</v>
      </c>
      <c r="J145" s="18">
        <f t="shared" si="9"/>
        <v>155.1</v>
      </c>
      <c r="K145" s="32"/>
      <c r="L145" s="33">
        <f t="shared" si="7"/>
        <v>0</v>
      </c>
      <c r="M145" s="215"/>
      <c r="N145" s="6"/>
    </row>
    <row r="146" spans="1:14" ht="15.75">
      <c r="A146" s="11">
        <f t="shared" si="8"/>
        <v>140</v>
      </c>
      <c r="B146" s="30" t="s">
        <v>11</v>
      </c>
      <c r="C146" s="19" t="s">
        <v>942</v>
      </c>
      <c r="D146" s="19">
        <v>101084</v>
      </c>
      <c r="E146" s="309" t="s">
        <v>858</v>
      </c>
      <c r="F146" s="249">
        <v>52.5</v>
      </c>
      <c r="G146" s="26">
        <v>50</v>
      </c>
      <c r="H146" s="27">
        <v>2.5</v>
      </c>
      <c r="I146" s="80"/>
      <c r="J146" s="18">
        <f t="shared" si="9"/>
        <v>52.5</v>
      </c>
      <c r="K146" s="35"/>
      <c r="L146" s="36">
        <f t="shared" si="7"/>
        <v>0</v>
      </c>
      <c r="M146" s="215"/>
      <c r="N146" s="6"/>
    </row>
    <row r="147" spans="1:14" ht="15.75">
      <c r="A147" s="11">
        <f t="shared" si="8"/>
        <v>141</v>
      </c>
      <c r="B147" s="19" t="s">
        <v>54</v>
      </c>
      <c r="C147" s="19" t="s">
        <v>942</v>
      </c>
      <c r="D147" s="19">
        <v>101740</v>
      </c>
      <c r="E147" s="302" t="s">
        <v>56</v>
      </c>
      <c r="F147" s="14">
        <v>155.36000000000001</v>
      </c>
      <c r="G147" s="53">
        <v>100</v>
      </c>
      <c r="H147" s="54">
        <v>5</v>
      </c>
      <c r="I147" s="14">
        <v>50.36</v>
      </c>
      <c r="J147" s="18">
        <f t="shared" si="9"/>
        <v>155.36000000000001</v>
      </c>
      <c r="K147" s="32"/>
      <c r="L147" s="33">
        <f t="shared" si="7"/>
        <v>0</v>
      </c>
      <c r="M147" s="215"/>
      <c r="N147" s="6"/>
    </row>
    <row r="148" spans="1:14" ht="15.75">
      <c r="A148" s="11">
        <f t="shared" si="8"/>
        <v>142</v>
      </c>
      <c r="B148" s="19" t="s">
        <v>17</v>
      </c>
      <c r="C148" s="19" t="s">
        <v>942</v>
      </c>
      <c r="D148" s="19">
        <v>101713</v>
      </c>
      <c r="E148" s="312" t="s">
        <v>860</v>
      </c>
      <c r="F148" s="14">
        <v>52.5</v>
      </c>
      <c r="G148" s="20">
        <v>50</v>
      </c>
      <c r="H148" s="21">
        <v>2.5</v>
      </c>
      <c r="I148" s="14"/>
      <c r="J148" s="18">
        <f t="shared" si="9"/>
        <v>52.5</v>
      </c>
      <c r="K148" s="32"/>
      <c r="L148" s="33">
        <f t="shared" si="7"/>
        <v>0</v>
      </c>
      <c r="M148" s="37"/>
      <c r="N148" s="6"/>
    </row>
    <row r="149" spans="1:14" ht="15.75">
      <c r="A149" s="11">
        <f t="shared" si="8"/>
        <v>143</v>
      </c>
      <c r="B149" s="19" t="s">
        <v>23</v>
      </c>
      <c r="C149" s="19" t="s">
        <v>942</v>
      </c>
      <c r="D149" s="19">
        <v>101021</v>
      </c>
      <c r="E149" s="312" t="s">
        <v>861</v>
      </c>
      <c r="F149" s="14">
        <v>52.5</v>
      </c>
      <c r="G149" s="20">
        <v>50</v>
      </c>
      <c r="H149" s="21">
        <v>2.5</v>
      </c>
      <c r="I149" s="14"/>
      <c r="J149" s="18">
        <f t="shared" si="9"/>
        <v>52.5</v>
      </c>
      <c r="K149" s="32"/>
      <c r="L149" s="33">
        <f t="shared" si="7"/>
        <v>0</v>
      </c>
      <c r="M149" s="215"/>
      <c r="N149" s="6"/>
    </row>
    <row r="150" spans="1:14" ht="15.75">
      <c r="A150" s="11">
        <f t="shared" si="8"/>
        <v>144</v>
      </c>
      <c r="B150" s="19" t="s">
        <v>26</v>
      </c>
      <c r="C150" s="19" t="s">
        <v>942</v>
      </c>
      <c r="D150" s="19">
        <v>101024</v>
      </c>
      <c r="E150" s="312" t="s">
        <v>862</v>
      </c>
      <c r="F150" s="14">
        <v>52.5</v>
      </c>
      <c r="G150" s="20">
        <v>50</v>
      </c>
      <c r="H150" s="21">
        <v>2.5</v>
      </c>
      <c r="I150" s="14"/>
      <c r="J150" s="18">
        <f t="shared" si="9"/>
        <v>52.5</v>
      </c>
      <c r="K150" s="32"/>
      <c r="L150" s="33">
        <f t="shared" si="7"/>
        <v>0</v>
      </c>
      <c r="M150" s="215"/>
      <c r="N150" s="6"/>
    </row>
    <row r="151" spans="1:14" ht="15.75">
      <c r="A151" s="11">
        <f t="shared" si="8"/>
        <v>145</v>
      </c>
      <c r="B151" s="19" t="s">
        <v>69</v>
      </c>
      <c r="C151" s="19" t="s">
        <v>942</v>
      </c>
      <c r="D151" s="19">
        <v>101749</v>
      </c>
      <c r="E151" s="312" t="s">
        <v>864</v>
      </c>
      <c r="F151" s="14">
        <v>131.82</v>
      </c>
      <c r="G151" s="53">
        <v>100</v>
      </c>
      <c r="H151" s="54">
        <v>5</v>
      </c>
      <c r="I151" s="14">
        <v>26.82</v>
      </c>
      <c r="J151" s="18">
        <f t="shared" si="9"/>
        <v>131.82</v>
      </c>
      <c r="K151" s="32"/>
      <c r="L151" s="33">
        <f t="shared" si="7"/>
        <v>0</v>
      </c>
      <c r="M151" s="215"/>
      <c r="N151" s="6"/>
    </row>
    <row r="152" spans="1:14" ht="15.75">
      <c r="A152" s="11">
        <f t="shared" si="8"/>
        <v>146</v>
      </c>
      <c r="B152" s="19" t="s">
        <v>71</v>
      </c>
      <c r="C152" s="19" t="s">
        <v>942</v>
      </c>
      <c r="D152" s="19">
        <v>101750</v>
      </c>
      <c r="E152" s="312" t="s">
        <v>865</v>
      </c>
      <c r="F152" s="14">
        <v>115.52</v>
      </c>
      <c r="G152" s="53">
        <v>100</v>
      </c>
      <c r="H152" s="54">
        <v>5</v>
      </c>
      <c r="I152" s="14">
        <v>10.52</v>
      </c>
      <c r="J152" s="18">
        <f t="shared" si="9"/>
        <v>115.52</v>
      </c>
      <c r="K152" s="32"/>
      <c r="L152" s="33">
        <f t="shared" si="7"/>
        <v>0</v>
      </c>
      <c r="M152" s="215"/>
      <c r="N152" s="6"/>
    </row>
    <row r="153" spans="1:14" ht="15.75">
      <c r="A153" s="11">
        <f t="shared" si="8"/>
        <v>147</v>
      </c>
      <c r="B153" s="19" t="s">
        <v>878</v>
      </c>
      <c r="C153" s="19" t="s">
        <v>942</v>
      </c>
      <c r="D153" s="19">
        <v>101807</v>
      </c>
      <c r="E153" s="302" t="s">
        <v>879</v>
      </c>
      <c r="F153" s="14">
        <v>142.66</v>
      </c>
      <c r="G153" s="74">
        <v>100</v>
      </c>
      <c r="H153" s="54">
        <v>5</v>
      </c>
      <c r="I153" s="14">
        <v>37.659999999999997</v>
      </c>
      <c r="J153" s="18">
        <f t="shared" si="9"/>
        <v>142.66</v>
      </c>
      <c r="K153" s="32"/>
      <c r="L153" s="33">
        <f t="shared" si="7"/>
        <v>0</v>
      </c>
      <c r="M153" s="215"/>
      <c r="N153" s="6"/>
    </row>
    <row r="154" spans="1:14" ht="15.75">
      <c r="A154" s="11">
        <f t="shared" si="8"/>
        <v>148</v>
      </c>
      <c r="B154" s="19" t="s">
        <v>880</v>
      </c>
      <c r="C154" s="19" t="s">
        <v>942</v>
      </c>
      <c r="D154" s="19">
        <v>101832</v>
      </c>
      <c r="E154" s="302" t="s">
        <v>881</v>
      </c>
      <c r="F154" s="14">
        <v>209.62</v>
      </c>
      <c r="G154" s="74">
        <v>100</v>
      </c>
      <c r="H154" s="54">
        <v>5</v>
      </c>
      <c r="I154" s="14">
        <v>104.62</v>
      </c>
      <c r="J154" s="18">
        <f t="shared" si="9"/>
        <v>209.62</v>
      </c>
      <c r="K154" s="32"/>
      <c r="L154" s="33">
        <f t="shared" si="7"/>
        <v>0</v>
      </c>
      <c r="M154" s="37"/>
      <c r="N154" s="6"/>
    </row>
    <row r="155" spans="1:14" ht="15.75">
      <c r="A155" s="11">
        <f t="shared" si="8"/>
        <v>149</v>
      </c>
      <c r="B155" s="19" t="s">
        <v>902</v>
      </c>
      <c r="C155" s="19" t="s">
        <v>942</v>
      </c>
      <c r="D155" s="19">
        <v>101491</v>
      </c>
      <c r="E155" s="302" t="s">
        <v>903</v>
      </c>
      <c r="F155" s="14">
        <v>52.5</v>
      </c>
      <c r="G155" s="74">
        <v>50</v>
      </c>
      <c r="H155" s="54">
        <v>2.5</v>
      </c>
      <c r="I155" s="14"/>
      <c r="J155" s="18">
        <f t="shared" si="9"/>
        <v>52.5</v>
      </c>
      <c r="K155" s="32"/>
      <c r="L155" s="33">
        <f t="shared" si="7"/>
        <v>0</v>
      </c>
      <c r="M155" s="215"/>
      <c r="N155" s="6"/>
    </row>
    <row r="156" spans="1:14" ht="15.75">
      <c r="A156" s="11">
        <f t="shared" si="8"/>
        <v>150</v>
      </c>
      <c r="B156" s="19" t="s">
        <v>423</v>
      </c>
      <c r="C156" s="19" t="s">
        <v>942</v>
      </c>
      <c r="D156" s="19">
        <v>101626</v>
      </c>
      <c r="E156" s="305" t="s">
        <v>710</v>
      </c>
      <c r="F156" s="14">
        <v>52.5</v>
      </c>
      <c r="G156" s="74">
        <v>50</v>
      </c>
      <c r="H156" s="75">
        <v>2.5</v>
      </c>
      <c r="I156" s="14"/>
      <c r="J156" s="18">
        <f t="shared" si="9"/>
        <v>52.5</v>
      </c>
      <c r="K156" s="32"/>
      <c r="L156" s="33">
        <f t="shared" si="7"/>
        <v>0</v>
      </c>
      <c r="M156" s="37"/>
      <c r="N156" s="6"/>
    </row>
    <row r="157" spans="1:14" ht="15.75">
      <c r="A157" s="11">
        <f t="shared" si="8"/>
        <v>151</v>
      </c>
      <c r="B157" s="19" t="s">
        <v>404</v>
      </c>
      <c r="C157" s="19" t="s">
        <v>942</v>
      </c>
      <c r="D157" s="19">
        <v>101792</v>
      </c>
      <c r="E157" s="302" t="s">
        <v>966</v>
      </c>
      <c r="F157" s="14">
        <v>52.5</v>
      </c>
      <c r="G157" s="74">
        <v>50</v>
      </c>
      <c r="H157" s="75">
        <v>2.5</v>
      </c>
      <c r="I157" s="14"/>
      <c r="J157" s="18">
        <f t="shared" si="9"/>
        <v>52.5</v>
      </c>
      <c r="K157" s="32"/>
      <c r="L157" s="33">
        <f t="shared" si="7"/>
        <v>0</v>
      </c>
      <c r="M157" s="215"/>
      <c r="N157" s="6"/>
    </row>
    <row r="158" spans="1:14" ht="15.75">
      <c r="A158" s="11">
        <f t="shared" si="8"/>
        <v>152</v>
      </c>
      <c r="B158" s="19" t="s">
        <v>712</v>
      </c>
      <c r="C158" s="19" t="s">
        <v>942</v>
      </c>
      <c r="D158" s="19">
        <v>101792</v>
      </c>
      <c r="E158" s="305" t="s">
        <v>713</v>
      </c>
      <c r="F158" s="14">
        <v>52.5</v>
      </c>
      <c r="G158" s="74">
        <v>50</v>
      </c>
      <c r="H158" s="75">
        <v>2.5</v>
      </c>
      <c r="I158" s="14"/>
      <c r="J158" s="18">
        <f t="shared" si="9"/>
        <v>52.5</v>
      </c>
      <c r="K158" s="32"/>
      <c r="L158" s="33">
        <f t="shared" si="7"/>
        <v>0</v>
      </c>
      <c r="M158" s="215"/>
      <c r="N158" s="6"/>
    </row>
    <row r="159" spans="1:14" ht="15.75">
      <c r="A159" s="11">
        <f t="shared" si="8"/>
        <v>153</v>
      </c>
      <c r="B159" s="19" t="s">
        <v>714</v>
      </c>
      <c r="C159" s="19" t="s">
        <v>942</v>
      </c>
      <c r="D159" s="19">
        <v>101711</v>
      </c>
      <c r="E159" s="305" t="s">
        <v>715</v>
      </c>
      <c r="F159" s="14">
        <v>52.5</v>
      </c>
      <c r="G159" s="74">
        <v>50</v>
      </c>
      <c r="H159" s="75">
        <v>2.5</v>
      </c>
      <c r="I159" s="14"/>
      <c r="J159" s="18">
        <f t="shared" si="9"/>
        <v>52.5</v>
      </c>
      <c r="K159" s="32"/>
      <c r="L159" s="33">
        <f t="shared" si="7"/>
        <v>0</v>
      </c>
      <c r="M159" s="215"/>
      <c r="N159" s="6"/>
    </row>
    <row r="160" spans="1:14" ht="15.75">
      <c r="A160" s="11">
        <f t="shared" si="8"/>
        <v>154</v>
      </c>
      <c r="B160" s="19" t="s">
        <v>716</v>
      </c>
      <c r="C160" s="19" t="s">
        <v>942</v>
      </c>
      <c r="D160" s="19">
        <v>101035</v>
      </c>
      <c r="E160" s="302" t="s">
        <v>717</v>
      </c>
      <c r="F160" s="14">
        <v>52.5</v>
      </c>
      <c r="G160" s="20">
        <v>50</v>
      </c>
      <c r="H160" s="75">
        <v>2.5</v>
      </c>
      <c r="I160" s="14"/>
      <c r="J160" s="18">
        <f t="shared" si="9"/>
        <v>52.5</v>
      </c>
      <c r="K160" s="32"/>
      <c r="L160" s="33">
        <f t="shared" si="7"/>
        <v>0</v>
      </c>
      <c r="M160" s="215"/>
      <c r="N160" s="6"/>
    </row>
    <row r="161" spans="1:14" ht="15.75">
      <c r="A161" s="11">
        <f t="shared" si="8"/>
        <v>155</v>
      </c>
      <c r="B161" s="19" t="s">
        <v>718</v>
      </c>
      <c r="C161" s="19" t="s">
        <v>942</v>
      </c>
      <c r="D161" s="19">
        <v>101071</v>
      </c>
      <c r="E161" s="302" t="s">
        <v>163</v>
      </c>
      <c r="F161" s="14">
        <v>52.5</v>
      </c>
      <c r="G161" s="20">
        <v>50</v>
      </c>
      <c r="H161" s="21">
        <v>2.5</v>
      </c>
      <c r="I161" s="14"/>
      <c r="J161" s="18">
        <f t="shared" si="9"/>
        <v>52.5</v>
      </c>
      <c r="K161" s="32"/>
      <c r="L161" s="33">
        <f t="shared" si="7"/>
        <v>0</v>
      </c>
      <c r="M161" s="215"/>
      <c r="N161" s="6"/>
    </row>
    <row r="162" spans="1:14" ht="15.75">
      <c r="A162" s="11">
        <f t="shared" si="8"/>
        <v>156</v>
      </c>
      <c r="B162" s="19" t="s">
        <v>719</v>
      </c>
      <c r="C162" s="19" t="s">
        <v>942</v>
      </c>
      <c r="D162" s="19">
        <v>101090</v>
      </c>
      <c r="E162" s="302" t="s">
        <v>177</v>
      </c>
      <c r="F162" s="14">
        <v>52.5</v>
      </c>
      <c r="G162" s="20">
        <v>50</v>
      </c>
      <c r="H162" s="21">
        <v>2.5</v>
      </c>
      <c r="I162" s="14"/>
      <c r="J162" s="18">
        <f t="shared" si="9"/>
        <v>52.5</v>
      </c>
      <c r="K162" s="32"/>
      <c r="L162" s="33">
        <f t="shared" si="7"/>
        <v>0</v>
      </c>
      <c r="M162" s="215"/>
      <c r="N162" s="40"/>
    </row>
    <row r="163" spans="1:14" ht="15.75">
      <c r="A163" s="11">
        <f t="shared" si="8"/>
        <v>157</v>
      </c>
      <c r="B163" s="30" t="s">
        <v>720</v>
      </c>
      <c r="C163" s="19" t="s">
        <v>942</v>
      </c>
      <c r="D163" s="19">
        <v>101171</v>
      </c>
      <c r="E163" s="302" t="s">
        <v>161</v>
      </c>
      <c r="F163" s="14">
        <v>52.5</v>
      </c>
      <c r="G163" s="20">
        <v>50</v>
      </c>
      <c r="H163" s="21">
        <v>2.5</v>
      </c>
      <c r="I163" s="14"/>
      <c r="J163" s="18">
        <f t="shared" si="9"/>
        <v>52.5</v>
      </c>
      <c r="K163" s="32"/>
      <c r="L163" s="33">
        <f t="shared" si="7"/>
        <v>0</v>
      </c>
      <c r="M163" s="215"/>
      <c r="N163" s="40"/>
    </row>
    <row r="164" spans="1:14" ht="15.75">
      <c r="A164" s="11">
        <f t="shared" si="8"/>
        <v>158</v>
      </c>
      <c r="B164" s="19" t="s">
        <v>721</v>
      </c>
      <c r="C164" s="19" t="s">
        <v>942</v>
      </c>
      <c r="D164" s="19">
        <v>101273</v>
      </c>
      <c r="E164" s="302" t="s">
        <v>722</v>
      </c>
      <c r="F164" s="14">
        <v>52.5</v>
      </c>
      <c r="G164" s="74">
        <v>50</v>
      </c>
      <c r="H164" s="21">
        <v>2.5</v>
      </c>
      <c r="I164" s="14"/>
      <c r="J164" s="18">
        <f t="shared" si="9"/>
        <v>52.5</v>
      </c>
      <c r="K164" s="32"/>
      <c r="L164" s="33">
        <f t="shared" si="7"/>
        <v>0</v>
      </c>
      <c r="M164" s="215"/>
      <c r="N164" s="58"/>
    </row>
    <row r="165" spans="1:14" ht="15.75">
      <c r="A165" s="11">
        <f t="shared" si="8"/>
        <v>159</v>
      </c>
      <c r="B165" s="19" t="s">
        <v>723</v>
      </c>
      <c r="C165" s="19" t="s">
        <v>942</v>
      </c>
      <c r="D165" s="19">
        <v>101698</v>
      </c>
      <c r="E165" s="302" t="s">
        <v>724</v>
      </c>
      <c r="F165" s="14">
        <v>52.5</v>
      </c>
      <c r="G165" s="20">
        <v>50</v>
      </c>
      <c r="H165" s="21">
        <v>2.5</v>
      </c>
      <c r="I165" s="14"/>
      <c r="J165" s="18">
        <f t="shared" si="9"/>
        <v>52.5</v>
      </c>
      <c r="K165" s="32"/>
      <c r="L165" s="33">
        <f t="shared" si="7"/>
        <v>0</v>
      </c>
      <c r="M165" s="215"/>
      <c r="N165" s="59" t="s">
        <v>525</v>
      </c>
    </row>
    <row r="166" spans="1:14" ht="15.75">
      <c r="A166" s="11">
        <f t="shared" si="8"/>
        <v>160</v>
      </c>
      <c r="B166" s="19" t="s">
        <v>725</v>
      </c>
      <c r="C166" s="19" t="s">
        <v>942</v>
      </c>
      <c r="D166" s="19">
        <v>101315</v>
      </c>
      <c r="E166" s="305" t="s">
        <v>155</v>
      </c>
      <c r="F166" s="14">
        <v>52.5</v>
      </c>
      <c r="G166" s="74">
        <v>50</v>
      </c>
      <c r="H166" s="21">
        <v>2.5</v>
      </c>
      <c r="I166" s="14"/>
      <c r="J166" s="18">
        <f t="shared" si="9"/>
        <v>52.5</v>
      </c>
      <c r="K166" s="32"/>
      <c r="L166" s="33">
        <f t="shared" si="7"/>
        <v>0</v>
      </c>
      <c r="M166" s="215"/>
      <c r="N166" s="60" t="s">
        <v>79</v>
      </c>
    </row>
    <row r="167" spans="1:14" ht="15.75">
      <c r="A167" s="11">
        <f t="shared" si="8"/>
        <v>161</v>
      </c>
      <c r="B167" s="19" t="s">
        <v>727</v>
      </c>
      <c r="C167" s="211" t="s">
        <v>942</v>
      </c>
      <c r="D167" s="211">
        <v>101601</v>
      </c>
      <c r="E167" s="302" t="s">
        <v>967</v>
      </c>
      <c r="F167" s="14">
        <v>52.5</v>
      </c>
      <c r="G167" s="74">
        <v>50</v>
      </c>
      <c r="H167" s="21">
        <v>2.5</v>
      </c>
      <c r="I167" s="14"/>
      <c r="J167" s="18">
        <f t="shared" si="9"/>
        <v>52.5</v>
      </c>
      <c r="K167" s="32"/>
      <c r="L167" s="33">
        <f t="shared" si="7"/>
        <v>0</v>
      </c>
      <c r="M167" s="215"/>
      <c r="N167" s="40"/>
    </row>
    <row r="168" spans="1:14" ht="15.75">
      <c r="A168" s="11">
        <f t="shared" si="8"/>
        <v>162</v>
      </c>
      <c r="B168" s="19" t="s">
        <v>729</v>
      </c>
      <c r="C168" s="19" t="s">
        <v>942</v>
      </c>
      <c r="D168" s="19">
        <v>101335</v>
      </c>
      <c r="E168" s="302" t="s">
        <v>173</v>
      </c>
      <c r="F168" s="14">
        <v>52.5</v>
      </c>
      <c r="G168" s="20">
        <v>50</v>
      </c>
      <c r="H168" s="21">
        <v>2.5</v>
      </c>
      <c r="I168" s="14"/>
      <c r="J168" s="18">
        <f t="shared" si="9"/>
        <v>52.5</v>
      </c>
      <c r="K168" s="32"/>
      <c r="L168" s="33">
        <f t="shared" si="7"/>
        <v>0</v>
      </c>
      <c r="M168" s="215"/>
      <c r="N168" s="40"/>
    </row>
    <row r="169" spans="1:14" ht="15.75">
      <c r="A169" s="11">
        <f t="shared" si="8"/>
        <v>163</v>
      </c>
      <c r="B169" s="19" t="s">
        <v>730</v>
      </c>
      <c r="C169" s="19" t="s">
        <v>942</v>
      </c>
      <c r="D169" s="19">
        <v>101413</v>
      </c>
      <c r="E169" s="302" t="s">
        <v>159</v>
      </c>
      <c r="F169" s="14">
        <v>52.5</v>
      </c>
      <c r="G169" s="20">
        <v>50</v>
      </c>
      <c r="H169" s="21">
        <v>2.5</v>
      </c>
      <c r="I169" s="14"/>
      <c r="J169" s="18">
        <f t="shared" si="9"/>
        <v>52.5</v>
      </c>
      <c r="K169" s="32"/>
      <c r="L169" s="33">
        <f t="shared" si="7"/>
        <v>0</v>
      </c>
      <c r="M169" s="215"/>
      <c r="N169" s="40"/>
    </row>
    <row r="170" spans="1:14" ht="15.75">
      <c r="A170" s="11">
        <f t="shared" si="8"/>
        <v>164</v>
      </c>
      <c r="B170" s="19" t="s">
        <v>918</v>
      </c>
      <c r="C170" s="19" t="s">
        <v>942</v>
      </c>
      <c r="D170" s="19">
        <v>101882</v>
      </c>
      <c r="E170" s="302" t="s">
        <v>968</v>
      </c>
      <c r="F170" s="14">
        <v>52.5</v>
      </c>
      <c r="G170" s="74">
        <v>50</v>
      </c>
      <c r="H170" s="54">
        <v>2.5</v>
      </c>
      <c r="I170" s="14"/>
      <c r="J170" s="18">
        <f t="shared" si="9"/>
        <v>52.5</v>
      </c>
      <c r="K170" s="32"/>
      <c r="L170" s="33">
        <f>+(F170-((SUM(J170+K170))))</f>
        <v>0</v>
      </c>
      <c r="M170" s="215"/>
      <c r="N170" s="40"/>
    </row>
    <row r="171" spans="1:14" ht="15.75">
      <c r="A171" s="11">
        <f t="shared" si="8"/>
        <v>165</v>
      </c>
      <c r="B171" s="19" t="s">
        <v>731</v>
      </c>
      <c r="C171" s="211" t="s">
        <v>942</v>
      </c>
      <c r="D171" s="211">
        <v>101903</v>
      </c>
      <c r="E171" s="302" t="s">
        <v>732</v>
      </c>
      <c r="F171" s="14">
        <v>52.5</v>
      </c>
      <c r="G171" s="74">
        <v>50</v>
      </c>
      <c r="H171" s="21">
        <v>2.5</v>
      </c>
      <c r="I171" s="14"/>
      <c r="J171" s="18">
        <f t="shared" si="9"/>
        <v>52.5</v>
      </c>
      <c r="K171" s="32"/>
      <c r="L171" s="33">
        <f t="shared" si="7"/>
        <v>0</v>
      </c>
      <c r="M171" s="215"/>
      <c r="N171" s="195"/>
    </row>
    <row r="172" spans="1:14" ht="15.75">
      <c r="A172" s="11">
        <f t="shared" si="8"/>
        <v>166</v>
      </c>
      <c r="B172" s="19" t="s">
        <v>920</v>
      </c>
      <c r="C172" s="19" t="s">
        <v>942</v>
      </c>
      <c r="D172" s="19">
        <v>101881</v>
      </c>
      <c r="E172" s="302" t="s">
        <v>969</v>
      </c>
      <c r="F172" s="14">
        <v>52.5</v>
      </c>
      <c r="G172" s="74">
        <v>50</v>
      </c>
      <c r="H172" s="54">
        <v>2.5</v>
      </c>
      <c r="I172" s="14"/>
      <c r="J172" s="18">
        <f t="shared" si="9"/>
        <v>52.5</v>
      </c>
      <c r="K172" s="32"/>
      <c r="L172" s="33">
        <f>+(F172-((SUM(J172+K172))))</f>
        <v>0</v>
      </c>
      <c r="M172" s="37"/>
      <c r="N172" s="194"/>
    </row>
    <row r="173" spans="1:14" ht="15.75">
      <c r="A173" s="11">
        <f t="shared" si="8"/>
        <v>167</v>
      </c>
      <c r="B173" s="19" t="s">
        <v>733</v>
      </c>
      <c r="C173" s="19" t="s">
        <v>942</v>
      </c>
      <c r="D173" s="19">
        <v>101505</v>
      </c>
      <c r="E173" s="302" t="s">
        <v>734</v>
      </c>
      <c r="F173" s="14">
        <v>52.5</v>
      </c>
      <c r="G173" s="20">
        <v>50</v>
      </c>
      <c r="H173" s="21">
        <v>2.5</v>
      </c>
      <c r="I173" s="14"/>
      <c r="J173" s="18">
        <f t="shared" si="9"/>
        <v>52.5</v>
      </c>
      <c r="K173" s="32"/>
      <c r="L173" s="33">
        <f t="shared" si="7"/>
        <v>0</v>
      </c>
      <c r="M173" s="215"/>
      <c r="N173" s="6" t="s">
        <v>539</v>
      </c>
    </row>
    <row r="174" spans="1:14" ht="15.75">
      <c r="A174" s="11">
        <f t="shared" si="8"/>
        <v>168</v>
      </c>
      <c r="B174" s="19" t="s">
        <v>735</v>
      </c>
      <c r="C174" s="19" t="s">
        <v>942</v>
      </c>
      <c r="D174" s="19">
        <v>101682</v>
      </c>
      <c r="E174" s="305" t="s">
        <v>736</v>
      </c>
      <c r="F174" s="14">
        <v>52.5</v>
      </c>
      <c r="G174" s="74">
        <v>50</v>
      </c>
      <c r="H174" s="21">
        <v>2.5</v>
      </c>
      <c r="I174" s="14"/>
      <c r="J174" s="18">
        <f t="shared" si="9"/>
        <v>52.5</v>
      </c>
      <c r="K174" s="32"/>
      <c r="L174" s="33">
        <f t="shared" si="7"/>
        <v>0</v>
      </c>
      <c r="M174" s="215"/>
      <c r="N174" s="6" t="s">
        <v>542</v>
      </c>
    </row>
    <row r="175" spans="1:14" ht="15.75">
      <c r="A175" s="11">
        <f t="shared" si="8"/>
        <v>169</v>
      </c>
      <c r="B175" s="30" t="s">
        <v>401</v>
      </c>
      <c r="C175" s="19" t="s">
        <v>942</v>
      </c>
      <c r="D175" s="19">
        <v>101907</v>
      </c>
      <c r="E175" s="309" t="s">
        <v>970</v>
      </c>
      <c r="F175" s="14">
        <v>52.5</v>
      </c>
      <c r="G175" s="74">
        <v>50</v>
      </c>
      <c r="H175" s="75">
        <v>2.5</v>
      </c>
      <c r="I175" s="14"/>
      <c r="J175" s="18">
        <f t="shared" si="9"/>
        <v>52.5</v>
      </c>
      <c r="K175" s="35"/>
      <c r="L175" s="33">
        <f t="shared" si="7"/>
        <v>0</v>
      </c>
      <c r="M175" s="215"/>
      <c r="N175" s="40"/>
    </row>
    <row r="176" spans="1:14" ht="15.75">
      <c r="A176" s="11">
        <f t="shared" si="8"/>
        <v>170</v>
      </c>
      <c r="B176" s="19" t="s">
        <v>740</v>
      </c>
      <c r="C176" s="19" t="s">
        <v>942</v>
      </c>
      <c r="D176" s="19">
        <v>101523</v>
      </c>
      <c r="E176" s="313" t="s">
        <v>741</v>
      </c>
      <c r="F176" s="14">
        <v>52.5</v>
      </c>
      <c r="G176" s="74">
        <v>50</v>
      </c>
      <c r="H176" s="75">
        <v>2.5</v>
      </c>
      <c r="I176" s="14"/>
      <c r="J176" s="18">
        <f t="shared" si="9"/>
        <v>52.5</v>
      </c>
      <c r="K176" s="32"/>
      <c r="L176" s="33">
        <f t="shared" si="7"/>
        <v>0</v>
      </c>
      <c r="M176" s="215"/>
      <c r="N176" s="40"/>
    </row>
    <row r="177" spans="1:14" ht="15.75">
      <c r="A177" s="11">
        <f t="shared" si="8"/>
        <v>171</v>
      </c>
      <c r="B177" s="19" t="s">
        <v>742</v>
      </c>
      <c r="C177" s="19" t="s">
        <v>942</v>
      </c>
      <c r="D177" s="19">
        <v>101818</v>
      </c>
      <c r="E177" s="302" t="s">
        <v>743</v>
      </c>
      <c r="F177" s="14">
        <v>52.5</v>
      </c>
      <c r="G177" s="74">
        <v>50</v>
      </c>
      <c r="H177" s="54">
        <v>2.5</v>
      </c>
      <c r="I177" s="14"/>
      <c r="J177" s="18">
        <f t="shared" si="9"/>
        <v>52.5</v>
      </c>
      <c r="K177" s="32"/>
      <c r="L177" s="33">
        <f t="shared" si="7"/>
        <v>0</v>
      </c>
      <c r="M177" s="215"/>
      <c r="N177" s="40"/>
    </row>
    <row r="178" spans="1:14" ht="15.75">
      <c r="A178" s="11">
        <f t="shared" si="8"/>
        <v>172</v>
      </c>
      <c r="B178" s="19" t="s">
        <v>744</v>
      </c>
      <c r="C178" s="19" t="s">
        <v>942</v>
      </c>
      <c r="D178" s="19">
        <v>101819</v>
      </c>
      <c r="E178" s="302" t="s">
        <v>745</v>
      </c>
      <c r="F178" s="14">
        <v>105</v>
      </c>
      <c r="G178" s="74">
        <v>100</v>
      </c>
      <c r="H178" s="54">
        <v>5</v>
      </c>
      <c r="I178" s="14"/>
      <c r="J178" s="18">
        <f t="shared" si="9"/>
        <v>105</v>
      </c>
      <c r="K178" s="32"/>
      <c r="L178" s="33">
        <f t="shared" si="7"/>
        <v>0</v>
      </c>
      <c r="M178" s="215"/>
      <c r="N178" s="40"/>
    </row>
    <row r="179" spans="1:14" ht="15.75">
      <c r="A179" s="11">
        <f t="shared" si="8"/>
        <v>173</v>
      </c>
      <c r="B179" s="19" t="s">
        <v>746</v>
      </c>
      <c r="C179" s="19" t="s">
        <v>942</v>
      </c>
      <c r="D179" s="19">
        <v>101833</v>
      </c>
      <c r="E179" s="302" t="s">
        <v>747</v>
      </c>
      <c r="F179" s="14">
        <v>105</v>
      </c>
      <c r="G179" s="74">
        <v>100</v>
      </c>
      <c r="H179" s="54">
        <v>5</v>
      </c>
      <c r="I179" s="14"/>
      <c r="J179" s="18">
        <f t="shared" si="9"/>
        <v>105</v>
      </c>
      <c r="K179" s="32"/>
      <c r="L179" s="33">
        <f t="shared" si="7"/>
        <v>0</v>
      </c>
      <c r="M179" s="215"/>
      <c r="N179" s="195"/>
    </row>
    <row r="180" spans="1:14" ht="15.75">
      <c r="A180" s="11">
        <f t="shared" si="8"/>
        <v>174</v>
      </c>
      <c r="B180" s="19" t="s">
        <v>748</v>
      </c>
      <c r="C180" s="19"/>
      <c r="D180" s="19"/>
      <c r="E180" s="305" t="s">
        <v>749</v>
      </c>
      <c r="F180" s="14">
        <v>52.5</v>
      </c>
      <c r="G180" s="74">
        <v>50</v>
      </c>
      <c r="H180" s="75">
        <v>2.5</v>
      </c>
      <c r="I180" s="14"/>
      <c r="J180" s="18">
        <f t="shared" si="9"/>
        <v>52.5</v>
      </c>
      <c r="K180" s="179"/>
      <c r="L180" s="33">
        <f t="shared" si="7"/>
        <v>0</v>
      </c>
      <c r="M180" s="217"/>
      <c r="N180" s="194"/>
    </row>
    <row r="181" spans="1:14" ht="15.75">
      <c r="A181" s="11">
        <f t="shared" si="8"/>
        <v>175</v>
      </c>
      <c r="B181" s="19" t="s">
        <v>750</v>
      </c>
      <c r="C181" s="19"/>
      <c r="D181" s="19"/>
      <c r="E181" s="305" t="s">
        <v>751</v>
      </c>
      <c r="F181" s="14">
        <v>341.25</v>
      </c>
      <c r="G181" s="74">
        <v>325</v>
      </c>
      <c r="H181" s="75">
        <v>16.25</v>
      </c>
      <c r="I181" s="14"/>
      <c r="J181" s="18">
        <f t="shared" si="9"/>
        <v>341.25</v>
      </c>
      <c r="K181" s="32"/>
      <c r="L181" s="33">
        <f t="shared" si="7"/>
        <v>0</v>
      </c>
      <c r="M181" s="215"/>
      <c r="N181" s="6" t="s">
        <v>557</v>
      </c>
    </row>
    <row r="182" spans="1:14" ht="15.75">
      <c r="A182" s="11">
        <f t="shared" si="8"/>
        <v>176</v>
      </c>
      <c r="B182" s="19" t="s">
        <v>3</v>
      </c>
      <c r="C182" s="19"/>
      <c r="D182" s="19"/>
      <c r="E182" s="305" t="s">
        <v>752</v>
      </c>
      <c r="F182" s="14">
        <v>446.25</v>
      </c>
      <c r="G182" s="74">
        <v>425</v>
      </c>
      <c r="H182" s="75">
        <v>21.25</v>
      </c>
      <c r="I182" s="14"/>
      <c r="J182" s="18">
        <f t="shared" si="9"/>
        <v>446.25</v>
      </c>
      <c r="K182" s="32"/>
      <c r="L182" s="36">
        <f t="shared" si="7"/>
        <v>0</v>
      </c>
      <c r="M182" s="215"/>
      <c r="N182" s="6" t="s">
        <v>559</v>
      </c>
    </row>
    <row r="183" spans="1:14" ht="15.75">
      <c r="A183" s="11">
        <f t="shared" si="8"/>
        <v>177</v>
      </c>
      <c r="B183" s="19" t="s">
        <v>753</v>
      </c>
      <c r="C183" s="19"/>
      <c r="D183" s="19"/>
      <c r="E183" s="305" t="s">
        <v>754</v>
      </c>
      <c r="F183" s="14">
        <v>105</v>
      </c>
      <c r="G183" s="74">
        <v>100</v>
      </c>
      <c r="H183" s="75">
        <v>5</v>
      </c>
      <c r="I183" s="14"/>
      <c r="J183" s="18">
        <f t="shared" si="9"/>
        <v>105</v>
      </c>
      <c r="K183" s="32"/>
      <c r="L183" s="33">
        <f t="shared" si="7"/>
        <v>0</v>
      </c>
      <c r="M183" s="215"/>
      <c r="N183" s="6"/>
    </row>
    <row r="184" spans="1:14" ht="15.75">
      <c r="A184" s="11">
        <f t="shared" si="8"/>
        <v>178</v>
      </c>
      <c r="B184" s="19" t="s">
        <v>755</v>
      </c>
      <c r="C184" s="19"/>
      <c r="D184" s="19"/>
      <c r="E184" s="305" t="s">
        <v>756</v>
      </c>
      <c r="F184" s="14">
        <v>105</v>
      </c>
      <c r="G184" s="74">
        <v>100</v>
      </c>
      <c r="H184" s="75">
        <v>5</v>
      </c>
      <c r="I184" s="14"/>
      <c r="J184" s="18">
        <f t="shared" si="9"/>
        <v>105</v>
      </c>
      <c r="K184" s="32"/>
      <c r="L184" s="33">
        <f t="shared" si="7"/>
        <v>0</v>
      </c>
      <c r="M184" s="215"/>
    </row>
    <row r="185" spans="1:14" ht="15.75">
      <c r="A185" s="11">
        <f t="shared" si="8"/>
        <v>179</v>
      </c>
      <c r="B185" s="19" t="s">
        <v>757</v>
      </c>
      <c r="C185" s="19"/>
      <c r="D185" s="19"/>
      <c r="E185" s="302" t="s">
        <v>758</v>
      </c>
      <c r="F185" s="14">
        <v>52.5</v>
      </c>
      <c r="G185" s="74">
        <v>50</v>
      </c>
      <c r="H185" s="54">
        <v>2.5</v>
      </c>
      <c r="I185" s="14"/>
      <c r="J185" s="18">
        <f t="shared" si="9"/>
        <v>52.5</v>
      </c>
      <c r="K185" s="32"/>
      <c r="L185" s="33">
        <f t="shared" si="7"/>
        <v>0</v>
      </c>
      <c r="M185" s="215"/>
    </row>
    <row r="186" spans="1:14" ht="15.75">
      <c r="A186" s="11">
        <f t="shared" si="8"/>
        <v>180</v>
      </c>
      <c r="B186" s="19" t="s">
        <v>759</v>
      </c>
      <c r="C186" s="19"/>
      <c r="D186" s="19"/>
      <c r="E186" s="302" t="s">
        <v>760</v>
      </c>
      <c r="F186" s="14">
        <v>52.5</v>
      </c>
      <c r="G186" s="74">
        <v>50</v>
      </c>
      <c r="H186" s="54">
        <v>2.5</v>
      </c>
      <c r="I186" s="14"/>
      <c r="J186" s="18">
        <f t="shared" si="9"/>
        <v>52.5</v>
      </c>
      <c r="K186" s="32"/>
      <c r="L186" s="33">
        <f t="shared" si="7"/>
        <v>0</v>
      </c>
      <c r="M186" s="215"/>
    </row>
    <row r="187" spans="1:14" ht="15.75">
      <c r="A187" s="11">
        <f t="shared" si="8"/>
        <v>181</v>
      </c>
      <c r="B187" s="19" t="s">
        <v>761</v>
      </c>
      <c r="C187" s="19"/>
      <c r="D187" s="19"/>
      <c r="E187" s="302" t="s">
        <v>762</v>
      </c>
      <c r="F187" s="14">
        <v>52.5</v>
      </c>
      <c r="G187" s="74">
        <v>50</v>
      </c>
      <c r="H187" s="54">
        <v>2.5</v>
      </c>
      <c r="I187" s="14"/>
      <c r="J187" s="18">
        <f t="shared" si="9"/>
        <v>52.5</v>
      </c>
      <c r="K187" s="32"/>
      <c r="L187" s="33">
        <f t="shared" si="7"/>
        <v>0</v>
      </c>
      <c r="M187" s="215"/>
    </row>
    <row r="188" spans="1:14" ht="15.75">
      <c r="A188" s="11">
        <f t="shared" si="8"/>
        <v>182</v>
      </c>
      <c r="B188" s="19" t="s">
        <v>396</v>
      </c>
      <c r="C188" s="19" t="s">
        <v>942</v>
      </c>
      <c r="D188" s="19">
        <v>101573</v>
      </c>
      <c r="E188" s="302" t="s">
        <v>397</v>
      </c>
      <c r="F188" s="14">
        <v>105</v>
      </c>
      <c r="G188" s="74">
        <v>100</v>
      </c>
      <c r="H188" s="21">
        <v>5</v>
      </c>
      <c r="I188" s="14"/>
      <c r="J188" s="18">
        <f t="shared" si="9"/>
        <v>105</v>
      </c>
      <c r="K188" s="32"/>
      <c r="L188" s="33">
        <f>+(F188-((SUM(J188+K188))))</f>
        <v>0</v>
      </c>
      <c r="M188" s="42"/>
    </row>
    <row r="189" spans="1:14" ht="15.75">
      <c r="A189" s="11">
        <f t="shared" si="8"/>
        <v>183</v>
      </c>
      <c r="B189" s="19" t="s">
        <v>763</v>
      </c>
      <c r="C189" s="19" t="s">
        <v>942</v>
      </c>
      <c r="D189" s="19">
        <v>101229</v>
      </c>
      <c r="E189" s="302" t="s">
        <v>764</v>
      </c>
      <c r="F189" s="14">
        <v>52.5</v>
      </c>
      <c r="G189" s="53">
        <v>50</v>
      </c>
      <c r="H189" s="54">
        <v>2.5</v>
      </c>
      <c r="I189" s="248"/>
      <c r="J189" s="18">
        <f t="shared" si="9"/>
        <v>52.5</v>
      </c>
      <c r="K189" s="32"/>
      <c r="L189" s="33">
        <f t="shared" ref="L189:L203" si="10">+(F189-((SUM(J189+K189))))</f>
        <v>0</v>
      </c>
      <c r="M189" s="215"/>
    </row>
    <row r="190" spans="1:14" ht="15.75">
      <c r="A190" s="11">
        <f t="shared" si="8"/>
        <v>184</v>
      </c>
      <c r="B190" s="19" t="s">
        <v>765</v>
      </c>
      <c r="C190" s="19" t="s">
        <v>942</v>
      </c>
      <c r="D190" s="19">
        <v>101286</v>
      </c>
      <c r="E190" s="302" t="s">
        <v>766</v>
      </c>
      <c r="F190" s="14">
        <v>52.5</v>
      </c>
      <c r="G190" s="53">
        <v>50</v>
      </c>
      <c r="H190" s="54">
        <v>2.5</v>
      </c>
      <c r="I190" s="248"/>
      <c r="J190" s="18">
        <f t="shared" si="9"/>
        <v>52.5</v>
      </c>
      <c r="K190" s="32"/>
      <c r="L190" s="33">
        <f t="shared" si="10"/>
        <v>0</v>
      </c>
      <c r="M190" s="215"/>
    </row>
    <row r="191" spans="1:14" ht="15.75">
      <c r="A191" s="11">
        <f t="shared" si="8"/>
        <v>185</v>
      </c>
      <c r="B191" s="116" t="s">
        <v>767</v>
      </c>
      <c r="C191" s="19" t="s">
        <v>942</v>
      </c>
      <c r="D191" s="19">
        <v>101858</v>
      </c>
      <c r="E191" s="302" t="s">
        <v>768</v>
      </c>
      <c r="F191" s="14">
        <v>52.5</v>
      </c>
      <c r="G191" s="74">
        <v>50</v>
      </c>
      <c r="H191" s="54">
        <v>2.5</v>
      </c>
      <c r="I191" s="14"/>
      <c r="J191" s="18">
        <f t="shared" si="9"/>
        <v>52.5</v>
      </c>
      <c r="K191" s="32"/>
      <c r="L191" s="33">
        <f t="shared" si="10"/>
        <v>0</v>
      </c>
      <c r="M191" s="215"/>
    </row>
    <row r="192" spans="1:14" ht="15.75">
      <c r="A192" s="11">
        <f t="shared" si="8"/>
        <v>186</v>
      </c>
      <c r="B192" s="19" t="s">
        <v>769</v>
      </c>
      <c r="C192" s="19" t="s">
        <v>942</v>
      </c>
      <c r="D192" s="19">
        <v>101060</v>
      </c>
      <c r="E192" s="302" t="s">
        <v>770</v>
      </c>
      <c r="F192" s="14">
        <v>52.5</v>
      </c>
      <c r="G192" s="74">
        <v>50</v>
      </c>
      <c r="H192" s="21">
        <v>2.5</v>
      </c>
      <c r="I192" s="14"/>
      <c r="J192" s="18">
        <f t="shared" si="9"/>
        <v>52.5</v>
      </c>
      <c r="K192" s="32"/>
      <c r="L192" s="33">
        <f t="shared" si="10"/>
        <v>0</v>
      </c>
      <c r="M192" s="215"/>
    </row>
    <row r="193" spans="1:13" ht="15.75">
      <c r="A193" s="11">
        <f t="shared" si="8"/>
        <v>187</v>
      </c>
      <c r="B193" s="19" t="s">
        <v>771</v>
      </c>
      <c r="C193" s="19" t="s">
        <v>942</v>
      </c>
      <c r="D193" s="19">
        <v>101702</v>
      </c>
      <c r="E193" s="305" t="s">
        <v>772</v>
      </c>
      <c r="F193" s="14">
        <v>52.5</v>
      </c>
      <c r="G193" s="74">
        <v>50</v>
      </c>
      <c r="H193" s="21">
        <v>2.5</v>
      </c>
      <c r="I193" s="14"/>
      <c r="J193" s="18">
        <f t="shared" si="9"/>
        <v>52.5</v>
      </c>
      <c r="K193" s="32"/>
      <c r="L193" s="33">
        <f t="shared" si="10"/>
        <v>0</v>
      </c>
      <c r="M193" s="215"/>
    </row>
    <row r="194" spans="1:13" ht="15.75">
      <c r="A194" s="11">
        <f t="shared" si="8"/>
        <v>188</v>
      </c>
      <c r="B194" s="19" t="s">
        <v>773</v>
      </c>
      <c r="C194" s="19" t="s">
        <v>942</v>
      </c>
      <c r="D194" s="19">
        <v>101092</v>
      </c>
      <c r="E194" s="305" t="s">
        <v>774</v>
      </c>
      <c r="F194" s="14">
        <v>52.5</v>
      </c>
      <c r="G194" s="74">
        <v>50</v>
      </c>
      <c r="H194" s="21">
        <v>2.5</v>
      </c>
      <c r="I194" s="14"/>
      <c r="J194" s="18">
        <f t="shared" si="9"/>
        <v>52.5</v>
      </c>
      <c r="K194" s="32"/>
      <c r="L194" s="33">
        <f t="shared" si="10"/>
        <v>0</v>
      </c>
      <c r="M194" s="215"/>
    </row>
    <row r="195" spans="1:13" ht="15.75">
      <c r="A195" s="11">
        <f t="shared" si="8"/>
        <v>189</v>
      </c>
      <c r="B195" s="19" t="s">
        <v>775</v>
      </c>
      <c r="C195" s="19" t="s">
        <v>942</v>
      </c>
      <c r="D195" s="262">
        <v>105278</v>
      </c>
      <c r="E195" s="302" t="s">
        <v>971</v>
      </c>
      <c r="F195" s="14">
        <v>52.5</v>
      </c>
      <c r="G195" s="20">
        <v>50</v>
      </c>
      <c r="H195" s="21">
        <v>2.5</v>
      </c>
      <c r="I195" s="14"/>
      <c r="J195" s="18">
        <f t="shared" si="9"/>
        <v>52.5</v>
      </c>
      <c r="K195" s="32"/>
      <c r="L195" s="33">
        <f t="shared" si="10"/>
        <v>0</v>
      </c>
      <c r="M195" s="215"/>
    </row>
    <row r="196" spans="1:13" ht="15.75">
      <c r="A196" s="11">
        <f t="shared" si="8"/>
        <v>190</v>
      </c>
      <c r="B196" s="19" t="s">
        <v>425</v>
      </c>
      <c r="C196" s="19" t="s">
        <v>942</v>
      </c>
      <c r="D196" s="19">
        <v>101904</v>
      </c>
      <c r="E196" s="302" t="s">
        <v>776</v>
      </c>
      <c r="F196" s="14">
        <v>52.5</v>
      </c>
      <c r="G196" s="74">
        <v>50</v>
      </c>
      <c r="H196" s="75">
        <v>2.5</v>
      </c>
      <c r="I196" s="14"/>
      <c r="J196" s="18">
        <f t="shared" si="9"/>
        <v>52.5</v>
      </c>
      <c r="K196" s="32"/>
      <c r="L196" s="33">
        <f t="shared" si="10"/>
        <v>0</v>
      </c>
      <c r="M196" s="215"/>
    </row>
    <row r="197" spans="1:13" ht="15.75">
      <c r="A197" s="11">
        <f t="shared" si="8"/>
        <v>191</v>
      </c>
      <c r="B197" s="19" t="s">
        <v>777</v>
      </c>
      <c r="C197" s="19" t="s">
        <v>942</v>
      </c>
      <c r="D197" s="19">
        <v>101627</v>
      </c>
      <c r="E197" s="302" t="s">
        <v>778</v>
      </c>
      <c r="F197" s="14">
        <v>52.5</v>
      </c>
      <c r="G197" s="20">
        <v>50</v>
      </c>
      <c r="H197" s="21">
        <v>2.5</v>
      </c>
      <c r="I197" s="248"/>
      <c r="J197" s="18">
        <f t="shared" si="9"/>
        <v>52.5</v>
      </c>
      <c r="K197" s="32"/>
      <c r="L197" s="33">
        <f t="shared" si="10"/>
        <v>0</v>
      </c>
      <c r="M197" s="215"/>
    </row>
    <row r="198" spans="1:13" ht="15.75">
      <c r="A198" s="11">
        <f t="shared" si="8"/>
        <v>192</v>
      </c>
      <c r="B198" s="19" t="s">
        <v>780</v>
      </c>
      <c r="C198" s="19" t="s">
        <v>942</v>
      </c>
      <c r="D198" s="19">
        <v>101083</v>
      </c>
      <c r="E198" s="305" t="s">
        <v>781</v>
      </c>
      <c r="F198" s="14">
        <v>52.5</v>
      </c>
      <c r="G198" s="74">
        <v>50</v>
      </c>
      <c r="H198" s="75">
        <v>2.5</v>
      </c>
      <c r="I198" s="14"/>
      <c r="J198" s="18">
        <f t="shared" si="9"/>
        <v>52.5</v>
      </c>
      <c r="K198" s="32"/>
      <c r="L198" s="33">
        <f t="shared" si="10"/>
        <v>0</v>
      </c>
      <c r="M198" s="215"/>
    </row>
    <row r="199" spans="1:13" ht="15.75">
      <c r="A199" s="11">
        <f t="shared" si="8"/>
        <v>193</v>
      </c>
      <c r="B199" s="19" t="s">
        <v>32</v>
      </c>
      <c r="C199" s="19" t="s">
        <v>942</v>
      </c>
      <c r="D199" s="19">
        <v>101068</v>
      </c>
      <c r="E199" s="312" t="s">
        <v>863</v>
      </c>
      <c r="F199" s="14">
        <v>52.5</v>
      </c>
      <c r="G199" s="20">
        <v>50</v>
      </c>
      <c r="H199" s="21">
        <v>2.5</v>
      </c>
      <c r="I199" s="14"/>
      <c r="J199" s="18">
        <f>SUM(G199+H199+I199)</f>
        <v>52.5</v>
      </c>
      <c r="K199" s="32"/>
      <c r="L199" s="33">
        <f t="shared" si="10"/>
        <v>0</v>
      </c>
      <c r="M199" s="215"/>
    </row>
    <row r="200" spans="1:13" ht="15.75">
      <c r="A200" s="11">
        <f t="shared" si="8"/>
        <v>194</v>
      </c>
      <c r="B200" s="19" t="s">
        <v>782</v>
      </c>
      <c r="C200" s="19" t="s">
        <v>942</v>
      </c>
      <c r="D200" s="19">
        <v>101639</v>
      </c>
      <c r="E200" s="305" t="s">
        <v>278</v>
      </c>
      <c r="F200" s="14">
        <v>105</v>
      </c>
      <c r="G200" s="74">
        <v>100</v>
      </c>
      <c r="H200" s="21">
        <v>5</v>
      </c>
      <c r="I200" s="14"/>
      <c r="J200" s="18">
        <f t="shared" ref="J200" si="11">SUM(G200+H200+I200)</f>
        <v>105</v>
      </c>
      <c r="K200" s="32"/>
      <c r="L200" s="33">
        <f>+(F200-((SUM(J200+K200))))</f>
        <v>0</v>
      </c>
      <c r="M200" s="42"/>
    </row>
    <row r="201" spans="1:13" ht="15.75">
      <c r="A201" s="11">
        <f t="shared" ref="A201:A236" si="12">1+A200</f>
        <v>195</v>
      </c>
      <c r="B201" s="30" t="s">
        <v>783</v>
      </c>
      <c r="C201" s="19" t="s">
        <v>942</v>
      </c>
      <c r="D201" s="19">
        <v>101862</v>
      </c>
      <c r="E201" s="309" t="s">
        <v>1039</v>
      </c>
      <c r="F201" s="14">
        <v>52.5</v>
      </c>
      <c r="G201" s="74">
        <v>50</v>
      </c>
      <c r="H201" s="75">
        <v>2.5</v>
      </c>
      <c r="I201" s="249"/>
      <c r="J201" s="18">
        <f t="shared" ref="J201:J214" si="13">SUM(G201+H201+I201)</f>
        <v>52.5</v>
      </c>
      <c r="K201" s="35"/>
      <c r="L201" s="33">
        <f t="shared" si="10"/>
        <v>0</v>
      </c>
      <c r="M201" s="215"/>
    </row>
    <row r="202" spans="1:13" ht="15.75">
      <c r="A202" s="11">
        <f t="shared" si="12"/>
        <v>196</v>
      </c>
      <c r="B202" s="19" t="s">
        <v>14</v>
      </c>
      <c r="C202" s="19" t="s">
        <v>942</v>
      </c>
      <c r="D202" s="19">
        <v>101710</v>
      </c>
      <c r="E202" s="312" t="s">
        <v>787</v>
      </c>
      <c r="F202" s="14">
        <v>52.5</v>
      </c>
      <c r="G202" s="20">
        <v>50</v>
      </c>
      <c r="H202" s="21">
        <v>2.5</v>
      </c>
      <c r="I202" s="14"/>
      <c r="J202" s="18">
        <f t="shared" si="13"/>
        <v>52.5</v>
      </c>
      <c r="K202" s="32"/>
      <c r="L202" s="33">
        <f t="shared" si="10"/>
        <v>0</v>
      </c>
      <c r="M202" s="215"/>
    </row>
    <row r="203" spans="1:13" ht="15.75">
      <c r="A203" s="11">
        <f t="shared" si="12"/>
        <v>197</v>
      </c>
      <c r="B203" s="19" t="s">
        <v>904</v>
      </c>
      <c r="C203" s="19" t="s">
        <v>942</v>
      </c>
      <c r="D203" s="19">
        <v>101901</v>
      </c>
      <c r="E203" s="302" t="s">
        <v>972</v>
      </c>
      <c r="F203" s="14">
        <v>52.5</v>
      </c>
      <c r="G203" s="74">
        <v>50</v>
      </c>
      <c r="H203" s="54">
        <v>2.5</v>
      </c>
      <c r="I203" s="14"/>
      <c r="J203" s="18">
        <f t="shared" si="13"/>
        <v>52.5</v>
      </c>
      <c r="K203" s="32"/>
      <c r="L203" s="33">
        <f t="shared" si="10"/>
        <v>0</v>
      </c>
      <c r="M203" s="215"/>
    </row>
    <row r="204" spans="1:13" ht="15.75">
      <c r="A204" s="11">
        <f t="shared" si="12"/>
        <v>198</v>
      </c>
      <c r="B204" s="19" t="s">
        <v>788</v>
      </c>
      <c r="C204" s="19" t="s">
        <v>942</v>
      </c>
      <c r="D204" s="19">
        <v>101887</v>
      </c>
      <c r="E204" s="302" t="s">
        <v>789</v>
      </c>
      <c r="F204" s="14">
        <v>52.5</v>
      </c>
      <c r="G204" s="74">
        <v>50</v>
      </c>
      <c r="H204" s="54">
        <v>2.5</v>
      </c>
      <c r="I204" s="14"/>
      <c r="J204" s="18">
        <f t="shared" si="13"/>
        <v>52.5</v>
      </c>
      <c r="K204" s="32"/>
      <c r="L204" s="33">
        <f t="shared" ref="L204:L210" si="14">+(F204-((SUM(J204+K204))))</f>
        <v>0</v>
      </c>
      <c r="M204" s="37"/>
    </row>
    <row r="205" spans="1:13" ht="15.75">
      <c r="A205" s="11">
        <f t="shared" si="12"/>
        <v>199</v>
      </c>
      <c r="B205" s="19" t="s">
        <v>20</v>
      </c>
      <c r="C205" s="19" t="s">
        <v>942</v>
      </c>
      <c r="D205" s="19">
        <v>101737</v>
      </c>
      <c r="E205" s="305" t="s">
        <v>790</v>
      </c>
      <c r="F205" s="14">
        <v>52.5</v>
      </c>
      <c r="G205" s="20">
        <v>50</v>
      </c>
      <c r="H205" s="21">
        <v>2.5</v>
      </c>
      <c r="I205" s="14"/>
      <c r="J205" s="18">
        <f t="shared" si="13"/>
        <v>52.5</v>
      </c>
      <c r="K205" s="32"/>
      <c r="L205" s="33">
        <f t="shared" si="14"/>
        <v>0</v>
      </c>
      <c r="M205" s="215"/>
    </row>
    <row r="206" spans="1:13" ht="15.75">
      <c r="A206" s="11">
        <f t="shared" si="12"/>
        <v>200</v>
      </c>
      <c r="B206" s="19" t="s">
        <v>929</v>
      </c>
      <c r="C206" s="19" t="s">
        <v>942</v>
      </c>
      <c r="D206" s="19">
        <v>105221</v>
      </c>
      <c r="E206" s="305" t="s">
        <v>973</v>
      </c>
      <c r="F206" s="14">
        <v>52.5</v>
      </c>
      <c r="G206" s="74">
        <v>50</v>
      </c>
      <c r="H206" s="75">
        <v>2.5</v>
      </c>
      <c r="I206" s="14"/>
      <c r="J206" s="18">
        <f>SUM(G206+H206+I206)</f>
        <v>52.5</v>
      </c>
      <c r="K206" s="32"/>
      <c r="L206" s="33">
        <f>+(F206-((SUM(J206+K206))))</f>
        <v>0</v>
      </c>
      <c r="M206" s="215"/>
    </row>
    <row r="207" spans="1:13" ht="15.75">
      <c r="A207" s="11">
        <f t="shared" si="12"/>
        <v>201</v>
      </c>
      <c r="B207" s="19" t="s">
        <v>791</v>
      </c>
      <c r="C207" s="19"/>
      <c r="D207" s="19"/>
      <c r="E207" s="302" t="s">
        <v>792</v>
      </c>
      <c r="F207" s="14">
        <v>446.25</v>
      </c>
      <c r="G207" s="20">
        <v>425</v>
      </c>
      <c r="H207" s="21">
        <v>21.25</v>
      </c>
      <c r="I207" s="14"/>
      <c r="J207" s="18">
        <f t="shared" si="13"/>
        <v>446.25</v>
      </c>
      <c r="K207" s="32"/>
      <c r="L207" s="33">
        <f t="shared" si="14"/>
        <v>0</v>
      </c>
      <c r="M207" s="215"/>
    </row>
    <row r="208" spans="1:13" ht="15.75">
      <c r="A208" s="11">
        <f t="shared" si="12"/>
        <v>202</v>
      </c>
      <c r="B208" s="55" t="s">
        <v>793</v>
      </c>
      <c r="C208" s="55"/>
      <c r="D208" s="55"/>
      <c r="E208" s="314" t="s">
        <v>794</v>
      </c>
      <c r="F208" s="147">
        <v>446.25</v>
      </c>
      <c r="G208" s="56">
        <v>425</v>
      </c>
      <c r="H208" s="57">
        <v>21.25</v>
      </c>
      <c r="I208" s="147"/>
      <c r="J208" s="18">
        <f t="shared" si="13"/>
        <v>446.25</v>
      </c>
      <c r="K208" s="41"/>
      <c r="L208" s="85">
        <f t="shared" si="14"/>
        <v>0</v>
      </c>
      <c r="M208" s="218"/>
    </row>
    <row r="209" spans="1:14" ht="15.75">
      <c r="A209" s="11">
        <f t="shared" si="12"/>
        <v>203</v>
      </c>
      <c r="B209" s="19" t="s">
        <v>974</v>
      </c>
      <c r="C209" s="19" t="s">
        <v>942</v>
      </c>
      <c r="D209" s="19">
        <v>105183</v>
      </c>
      <c r="E209" s="302" t="s">
        <v>975</v>
      </c>
      <c r="F209" s="14">
        <v>52.5</v>
      </c>
      <c r="G209" s="20">
        <v>50</v>
      </c>
      <c r="H209" s="21">
        <v>2.5</v>
      </c>
      <c r="I209" s="14"/>
      <c r="J209" s="18">
        <f t="shared" si="13"/>
        <v>52.5</v>
      </c>
      <c r="K209" s="32"/>
      <c r="L209" s="85">
        <f t="shared" si="14"/>
        <v>0</v>
      </c>
      <c r="M209" s="218"/>
    </row>
    <row r="210" spans="1:14" ht="15.75">
      <c r="A210" s="11">
        <f t="shared" si="12"/>
        <v>204</v>
      </c>
      <c r="B210" s="55" t="s">
        <v>976</v>
      </c>
      <c r="C210" s="55" t="s">
        <v>942</v>
      </c>
      <c r="D210" s="55">
        <v>105065</v>
      </c>
      <c r="E210" s="302" t="s">
        <v>977</v>
      </c>
      <c r="F210" s="147">
        <v>355</v>
      </c>
      <c r="G210" s="56">
        <v>100</v>
      </c>
      <c r="H210" s="21">
        <v>5</v>
      </c>
      <c r="I210" s="147">
        <v>250</v>
      </c>
      <c r="J210" s="18">
        <f t="shared" si="13"/>
        <v>355</v>
      </c>
      <c r="K210" s="41"/>
      <c r="L210" s="85">
        <f t="shared" si="14"/>
        <v>0</v>
      </c>
      <c r="M210" s="218"/>
    </row>
    <row r="211" spans="1:14" ht="15.75">
      <c r="A211" s="11">
        <f t="shared" si="12"/>
        <v>205</v>
      </c>
      <c r="B211" s="55" t="s">
        <v>978</v>
      </c>
      <c r="C211" s="19" t="s">
        <v>942</v>
      </c>
      <c r="D211" s="19">
        <v>105141</v>
      </c>
      <c r="E211" s="302" t="s">
        <v>979</v>
      </c>
      <c r="F211" s="14">
        <v>52.5</v>
      </c>
      <c r="G211" s="56">
        <v>50</v>
      </c>
      <c r="H211" s="21">
        <v>2.5</v>
      </c>
      <c r="I211" s="147"/>
      <c r="J211" s="18">
        <f t="shared" si="13"/>
        <v>52.5</v>
      </c>
      <c r="K211" s="41"/>
      <c r="L211" s="85">
        <f>+(F211-((SUM(J211+K211))))</f>
        <v>0</v>
      </c>
      <c r="M211" s="37"/>
    </row>
    <row r="212" spans="1:14" ht="15.75">
      <c r="A212" s="11">
        <f t="shared" si="12"/>
        <v>206</v>
      </c>
      <c r="B212" s="19" t="s">
        <v>981</v>
      </c>
      <c r="C212" s="19" t="s">
        <v>942</v>
      </c>
      <c r="D212" s="19">
        <v>105175</v>
      </c>
      <c r="E212" s="302" t="s">
        <v>982</v>
      </c>
      <c r="F212" s="14">
        <v>105</v>
      </c>
      <c r="G212" s="20">
        <v>100</v>
      </c>
      <c r="H212" s="21">
        <v>5</v>
      </c>
      <c r="I212" s="14"/>
      <c r="J212" s="18">
        <f t="shared" si="13"/>
        <v>105</v>
      </c>
      <c r="K212" s="41"/>
      <c r="L212" s="85">
        <f t="shared" ref="L212:L213" si="15">+(F212-((SUM(J212+K212))))</f>
        <v>0</v>
      </c>
      <c r="M212" s="218"/>
    </row>
    <row r="213" spans="1:14" ht="15.75">
      <c r="A213" s="11">
        <f t="shared" si="12"/>
        <v>207</v>
      </c>
      <c r="B213" s="19" t="s">
        <v>983</v>
      </c>
      <c r="C213" s="19" t="s">
        <v>942</v>
      </c>
      <c r="D213" s="19">
        <v>105182</v>
      </c>
      <c r="E213" s="302" t="s">
        <v>984</v>
      </c>
      <c r="F213" s="14">
        <v>52.5</v>
      </c>
      <c r="G213" s="20">
        <v>50</v>
      </c>
      <c r="H213" s="21">
        <v>2.5</v>
      </c>
      <c r="I213" s="14"/>
      <c r="J213" s="18">
        <f t="shared" si="13"/>
        <v>52.5</v>
      </c>
      <c r="K213" s="32"/>
      <c r="L213" s="33">
        <f t="shared" si="15"/>
        <v>0</v>
      </c>
      <c r="M213" s="37"/>
    </row>
    <row r="214" spans="1:14" ht="15.75">
      <c r="A214" s="11">
        <f t="shared" si="12"/>
        <v>208</v>
      </c>
      <c r="B214" s="243" t="s">
        <v>574</v>
      </c>
      <c r="C214" s="19" t="s">
        <v>942</v>
      </c>
      <c r="D214" s="19">
        <v>105290</v>
      </c>
      <c r="E214" s="302" t="s">
        <v>1040</v>
      </c>
      <c r="F214" s="14">
        <v>52.5</v>
      </c>
      <c r="G214" s="53">
        <v>50</v>
      </c>
      <c r="H214" s="54">
        <v>2.5</v>
      </c>
      <c r="I214" s="14"/>
      <c r="J214" s="18">
        <f t="shared" si="13"/>
        <v>52.5</v>
      </c>
      <c r="K214" s="32"/>
      <c r="L214" s="33">
        <f>+(F214-((SUM(J214+K214))))</f>
        <v>0</v>
      </c>
      <c r="M214" s="215"/>
      <c r="N214" s="6"/>
    </row>
    <row r="215" spans="1:14" ht="15.75">
      <c r="A215" s="11">
        <f t="shared" si="12"/>
        <v>209</v>
      </c>
      <c r="B215" s="19" t="s">
        <v>693</v>
      </c>
      <c r="C215" s="19" t="s">
        <v>942</v>
      </c>
      <c r="D215" s="19">
        <v>105269</v>
      </c>
      <c r="E215" s="305" t="s">
        <v>986</v>
      </c>
      <c r="F215" s="14">
        <v>109.1</v>
      </c>
      <c r="G215" s="74">
        <v>100</v>
      </c>
      <c r="H215" s="75">
        <v>5</v>
      </c>
      <c r="I215" s="14">
        <v>4.0999999999999996</v>
      </c>
      <c r="J215" s="18">
        <f>SUM(G215+H215+I215)</f>
        <v>109.1</v>
      </c>
      <c r="K215" s="32"/>
      <c r="L215" s="33">
        <f>+(F215-((SUM(J215+K215))))</f>
        <v>0</v>
      </c>
      <c r="M215" s="215"/>
      <c r="N215" s="40"/>
    </row>
    <row r="216" spans="1:14" ht="15.75">
      <c r="A216" s="11">
        <f t="shared" si="12"/>
        <v>210</v>
      </c>
      <c r="B216" s="19" t="s">
        <v>987</v>
      </c>
      <c r="C216" s="19" t="s">
        <v>942</v>
      </c>
      <c r="D216" s="19">
        <v>105267</v>
      </c>
      <c r="E216" s="302" t="s">
        <v>988</v>
      </c>
      <c r="F216" s="14">
        <v>123.4</v>
      </c>
      <c r="G216" s="20">
        <v>100</v>
      </c>
      <c r="H216" s="21">
        <v>2.5</v>
      </c>
      <c r="I216" s="14">
        <v>20.9</v>
      </c>
      <c r="J216" s="18">
        <f>SUM(G216+H216+I216)</f>
        <v>123.4</v>
      </c>
      <c r="K216" s="32"/>
      <c r="L216" s="85">
        <f>+(F216-((SUM(J216+K216))))</f>
        <v>0</v>
      </c>
      <c r="M216" s="37"/>
      <c r="N216" s="6"/>
    </row>
    <row r="217" spans="1:14" ht="15.75">
      <c r="A217" s="11">
        <f t="shared" si="12"/>
        <v>211</v>
      </c>
      <c r="B217" s="22" t="s">
        <v>779</v>
      </c>
      <c r="C217" s="19" t="s">
        <v>942</v>
      </c>
      <c r="D217" s="19">
        <v>101562</v>
      </c>
      <c r="E217" s="309" t="s">
        <v>989</v>
      </c>
      <c r="F217" s="14">
        <v>52.5</v>
      </c>
      <c r="G217" s="74">
        <v>50</v>
      </c>
      <c r="H217" s="75">
        <v>2.5</v>
      </c>
      <c r="I217" s="249"/>
      <c r="J217" s="18">
        <f>SUM(G217+H217+I217)</f>
        <v>52.5</v>
      </c>
      <c r="K217" s="35"/>
      <c r="L217" s="36">
        <f>+(F217-((SUM(J217+K217))))</f>
        <v>0</v>
      </c>
      <c r="M217" s="215"/>
      <c r="N217" s="6"/>
    </row>
    <row r="218" spans="1:14" ht="15.75">
      <c r="A218" s="11">
        <f t="shared" si="12"/>
        <v>212</v>
      </c>
      <c r="B218" s="55" t="s">
        <v>991</v>
      </c>
      <c r="C218" s="19" t="s">
        <v>942</v>
      </c>
      <c r="D218" s="19">
        <v>105309</v>
      </c>
      <c r="E218" s="302" t="s">
        <v>992</v>
      </c>
      <c r="F218" s="14">
        <v>52.5</v>
      </c>
      <c r="G218" s="74">
        <v>50</v>
      </c>
      <c r="H218" s="75">
        <v>2.5</v>
      </c>
      <c r="I218" s="249"/>
      <c r="J218" s="18">
        <f t="shared" ref="J218:J236" si="16">SUM(G218+H218+I218)</f>
        <v>52.5</v>
      </c>
      <c r="K218" s="35"/>
      <c r="L218" s="36">
        <f t="shared" ref="L218:L236" si="17">+(F218-((SUM(J218+K218))))</f>
        <v>0</v>
      </c>
      <c r="M218" s="215"/>
      <c r="N218" s="40"/>
    </row>
    <row r="219" spans="1:14" ht="15.75">
      <c r="A219" s="11">
        <f t="shared" si="12"/>
        <v>213</v>
      </c>
      <c r="B219" s="280" t="s">
        <v>993</v>
      </c>
      <c r="C219" s="12" t="s">
        <v>942</v>
      </c>
      <c r="D219" s="19">
        <v>105298</v>
      </c>
      <c r="E219" s="315" t="s">
        <v>994</v>
      </c>
      <c r="F219" s="14">
        <v>78.75</v>
      </c>
      <c r="G219" s="74">
        <v>50</v>
      </c>
      <c r="H219" s="75">
        <v>2.5</v>
      </c>
      <c r="I219" s="249">
        <v>26.25</v>
      </c>
      <c r="J219" s="18">
        <f t="shared" si="16"/>
        <v>78.75</v>
      </c>
      <c r="K219" s="35"/>
      <c r="L219" s="36">
        <f t="shared" si="17"/>
        <v>0</v>
      </c>
      <c r="M219" s="215"/>
      <c r="N219" s="40"/>
    </row>
    <row r="220" spans="1:14" ht="15.75">
      <c r="A220" s="11">
        <f t="shared" si="12"/>
        <v>214</v>
      </c>
      <c r="B220" s="280" t="s">
        <v>995</v>
      </c>
      <c r="C220" s="12" t="s">
        <v>942</v>
      </c>
      <c r="D220" s="19">
        <v>105320</v>
      </c>
      <c r="E220" s="315" t="s">
        <v>996</v>
      </c>
      <c r="F220" s="14">
        <v>52.5</v>
      </c>
      <c r="G220" s="74">
        <v>50</v>
      </c>
      <c r="H220" s="75">
        <v>2.5</v>
      </c>
      <c r="I220" s="249"/>
      <c r="J220" s="18">
        <f t="shared" si="16"/>
        <v>52.5</v>
      </c>
      <c r="K220" s="35"/>
      <c r="L220" s="36">
        <f t="shared" si="17"/>
        <v>0</v>
      </c>
      <c r="M220" s="215"/>
      <c r="N220" s="58"/>
    </row>
    <row r="221" spans="1:14" ht="15.75">
      <c r="A221" s="11">
        <f t="shared" si="12"/>
        <v>215</v>
      </c>
      <c r="B221" s="280" t="s">
        <v>997</v>
      </c>
      <c r="C221" s="12"/>
      <c r="D221" s="19">
        <v>105342</v>
      </c>
      <c r="E221" s="315" t="s">
        <v>998</v>
      </c>
      <c r="F221" s="14">
        <v>71.25</v>
      </c>
      <c r="G221" s="74">
        <v>67.86</v>
      </c>
      <c r="H221" s="75">
        <v>3.39</v>
      </c>
      <c r="I221" s="249"/>
      <c r="J221" s="18">
        <f t="shared" si="16"/>
        <v>71.25</v>
      </c>
      <c r="K221" s="35"/>
      <c r="L221" s="36">
        <f t="shared" si="17"/>
        <v>0</v>
      </c>
      <c r="M221" s="215"/>
      <c r="N221" s="59" t="s">
        <v>525</v>
      </c>
    </row>
    <row r="222" spans="1:14" ht="15.75">
      <c r="A222" s="11">
        <f t="shared" si="12"/>
        <v>216</v>
      </c>
      <c r="B222" s="280" t="s">
        <v>999</v>
      </c>
      <c r="C222" s="12" t="s">
        <v>942</v>
      </c>
      <c r="D222" s="19">
        <v>101908</v>
      </c>
      <c r="E222" s="315" t="s">
        <v>1000</v>
      </c>
      <c r="F222" s="14">
        <v>52.5</v>
      </c>
      <c r="G222" s="74">
        <v>50</v>
      </c>
      <c r="H222" s="75">
        <v>2.5</v>
      </c>
      <c r="I222" s="249"/>
      <c r="J222" s="18">
        <f t="shared" si="16"/>
        <v>52.5</v>
      </c>
      <c r="K222" s="35"/>
      <c r="L222" s="36">
        <f t="shared" si="17"/>
        <v>0</v>
      </c>
      <c r="M222" s="215"/>
      <c r="N222" s="60" t="s">
        <v>79</v>
      </c>
    </row>
    <row r="223" spans="1:14" ht="15.75">
      <c r="A223" s="11">
        <f t="shared" si="12"/>
        <v>217</v>
      </c>
      <c r="B223" s="333" t="s">
        <v>1001</v>
      </c>
      <c r="C223" s="19" t="s">
        <v>942</v>
      </c>
      <c r="D223" s="19">
        <v>105266</v>
      </c>
      <c r="E223" s="334" t="s">
        <v>1002</v>
      </c>
      <c r="F223" s="14">
        <v>105</v>
      </c>
      <c r="G223" s="74">
        <v>100</v>
      </c>
      <c r="H223" s="75">
        <v>5</v>
      </c>
      <c r="I223" s="249"/>
      <c r="J223" s="18">
        <f>SUM(G223+H223+I223)</f>
        <v>105</v>
      </c>
      <c r="K223" s="35"/>
      <c r="L223" s="36">
        <f>+(F223-((SUM(J223+K223))))</f>
        <v>0</v>
      </c>
      <c r="M223" s="215"/>
      <c r="N223" s="40"/>
    </row>
    <row r="224" spans="1:14" ht="15.75">
      <c r="A224" s="11">
        <f t="shared" si="12"/>
        <v>218</v>
      </c>
      <c r="B224" s="333" t="s">
        <v>1003</v>
      </c>
      <c r="C224" s="19"/>
      <c r="D224" s="19">
        <v>101756</v>
      </c>
      <c r="E224" s="335" t="s">
        <v>1004</v>
      </c>
      <c r="F224" s="147">
        <v>105</v>
      </c>
      <c r="G224" s="278">
        <v>100</v>
      </c>
      <c r="H224" s="279">
        <v>5</v>
      </c>
      <c r="I224" s="249"/>
      <c r="J224" s="18">
        <f t="shared" si="16"/>
        <v>105</v>
      </c>
      <c r="K224" s="35"/>
      <c r="L224" s="36">
        <f t="shared" si="17"/>
        <v>0</v>
      </c>
      <c r="M224" s="215"/>
      <c r="N224" s="40"/>
    </row>
    <row r="225" spans="1:14" ht="15.75">
      <c r="A225" s="11">
        <f t="shared" si="12"/>
        <v>219</v>
      </c>
      <c r="B225" s="333" t="s">
        <v>1005</v>
      </c>
      <c r="C225" s="19" t="s">
        <v>942</v>
      </c>
      <c r="D225" s="19">
        <v>105313</v>
      </c>
      <c r="E225" s="316" t="s">
        <v>1006</v>
      </c>
      <c r="F225" s="281">
        <v>105</v>
      </c>
      <c r="G225" s="274">
        <v>100</v>
      </c>
      <c r="H225" s="275">
        <v>5</v>
      </c>
      <c r="I225" s="277"/>
      <c r="J225" s="18">
        <f t="shared" si="16"/>
        <v>105</v>
      </c>
      <c r="K225" s="35"/>
      <c r="L225" s="36">
        <f t="shared" si="17"/>
        <v>0</v>
      </c>
      <c r="M225" s="215"/>
      <c r="N225" s="40"/>
    </row>
    <row r="226" spans="1:14" ht="15.75">
      <c r="A226" s="11">
        <f t="shared" si="12"/>
        <v>220</v>
      </c>
      <c r="B226" s="333" t="s">
        <v>1007</v>
      </c>
      <c r="C226" s="19" t="s">
        <v>942</v>
      </c>
      <c r="D226" s="342">
        <v>105345</v>
      </c>
      <c r="E226" s="316" t="s">
        <v>1008</v>
      </c>
      <c r="F226" s="281">
        <v>52.5</v>
      </c>
      <c r="G226" s="274">
        <v>50</v>
      </c>
      <c r="H226" s="275">
        <v>2.5</v>
      </c>
      <c r="I226" s="277"/>
      <c r="J226" s="18">
        <f t="shared" si="16"/>
        <v>52.5</v>
      </c>
      <c r="K226" s="35"/>
      <c r="L226" s="36">
        <f t="shared" si="17"/>
        <v>0</v>
      </c>
      <c r="M226" s="215"/>
      <c r="N226" s="40"/>
    </row>
    <row r="227" spans="1:14" ht="15.75">
      <c r="A227" s="11">
        <f t="shared" si="12"/>
        <v>221</v>
      </c>
      <c r="B227" s="333" t="s">
        <v>1009</v>
      </c>
      <c r="C227" s="19" t="s">
        <v>942</v>
      </c>
      <c r="D227" s="19">
        <v>105498</v>
      </c>
      <c r="E227" s="316" t="s">
        <v>1041</v>
      </c>
      <c r="F227" s="281">
        <v>105</v>
      </c>
      <c r="G227" s="274">
        <v>100</v>
      </c>
      <c r="H227" s="275">
        <v>5</v>
      </c>
      <c r="I227" s="277"/>
      <c r="J227" s="18">
        <f t="shared" si="16"/>
        <v>105</v>
      </c>
      <c r="K227" s="35"/>
      <c r="L227" s="36">
        <f t="shared" si="17"/>
        <v>0</v>
      </c>
      <c r="M227" s="215"/>
      <c r="N227" s="195"/>
    </row>
    <row r="228" spans="1:14" ht="15.75">
      <c r="A228" s="11">
        <f t="shared" si="12"/>
        <v>222</v>
      </c>
      <c r="B228" s="333" t="s">
        <v>1011</v>
      </c>
      <c r="C228" s="19"/>
      <c r="D228" s="19">
        <v>105482</v>
      </c>
      <c r="E228" s="316" t="s">
        <v>1042</v>
      </c>
      <c r="F228" s="281">
        <v>105</v>
      </c>
      <c r="G228" s="274">
        <v>100</v>
      </c>
      <c r="H228" s="275">
        <v>5</v>
      </c>
      <c r="I228" s="277"/>
      <c r="J228" s="18">
        <f t="shared" si="16"/>
        <v>105</v>
      </c>
      <c r="K228" s="35"/>
      <c r="L228" s="36">
        <f t="shared" si="17"/>
        <v>0</v>
      </c>
      <c r="M228" s="215"/>
      <c r="N228" s="194"/>
    </row>
    <row r="229" spans="1:14" ht="15.75">
      <c r="A229" s="11">
        <f t="shared" si="12"/>
        <v>223</v>
      </c>
      <c r="B229" s="333" t="s">
        <v>1013</v>
      </c>
      <c r="C229" s="19"/>
      <c r="D229" s="19"/>
      <c r="E229" s="316" t="s">
        <v>1014</v>
      </c>
      <c r="F229" s="281">
        <v>105</v>
      </c>
      <c r="G229" s="274">
        <v>100</v>
      </c>
      <c r="H229" s="275">
        <v>5</v>
      </c>
      <c r="I229" s="277"/>
      <c r="J229" s="18">
        <f t="shared" si="16"/>
        <v>105</v>
      </c>
      <c r="K229" s="35"/>
      <c r="L229" s="36">
        <f t="shared" si="17"/>
        <v>0</v>
      </c>
      <c r="M229" s="215"/>
      <c r="N229" s="6" t="s">
        <v>539</v>
      </c>
    </row>
    <row r="230" spans="1:14" ht="15.75">
      <c r="A230" s="11">
        <f t="shared" si="12"/>
        <v>224</v>
      </c>
      <c r="B230" s="333" t="s">
        <v>1015</v>
      </c>
      <c r="C230" s="19"/>
      <c r="D230" s="19">
        <v>105373</v>
      </c>
      <c r="E230" s="316" t="s">
        <v>1043</v>
      </c>
      <c r="F230" s="281">
        <v>105</v>
      </c>
      <c r="G230" s="274">
        <v>100</v>
      </c>
      <c r="H230" s="275">
        <v>5</v>
      </c>
      <c r="I230" s="277"/>
      <c r="J230" s="18">
        <f t="shared" si="16"/>
        <v>105</v>
      </c>
      <c r="K230" s="35"/>
      <c r="L230" s="36">
        <f t="shared" si="17"/>
        <v>0</v>
      </c>
      <c r="M230" s="215"/>
      <c r="N230" s="6" t="s">
        <v>542</v>
      </c>
    </row>
    <row r="231" spans="1:14" ht="15.75">
      <c r="A231" s="11">
        <f t="shared" si="12"/>
        <v>225</v>
      </c>
      <c r="B231" s="333" t="s">
        <v>1017</v>
      </c>
      <c r="C231" s="19"/>
      <c r="D231" s="19">
        <v>105497</v>
      </c>
      <c r="E231" s="316" t="s">
        <v>1044</v>
      </c>
      <c r="F231" s="281">
        <v>105</v>
      </c>
      <c r="G231" s="274">
        <v>100</v>
      </c>
      <c r="H231" s="275">
        <v>5</v>
      </c>
      <c r="I231" s="277"/>
      <c r="J231" s="18">
        <f t="shared" si="16"/>
        <v>105</v>
      </c>
      <c r="K231" s="35"/>
      <c r="L231" s="36">
        <f t="shared" si="17"/>
        <v>0</v>
      </c>
      <c r="M231" s="215"/>
      <c r="N231" s="40"/>
    </row>
    <row r="232" spans="1:14" ht="15.75">
      <c r="A232" s="11">
        <f t="shared" si="12"/>
        <v>226</v>
      </c>
      <c r="B232" s="333" t="s">
        <v>1019</v>
      </c>
      <c r="C232" s="19"/>
      <c r="D232" s="19"/>
      <c r="E232" s="316" t="s">
        <v>1045</v>
      </c>
      <c r="F232" s="281">
        <v>56.55</v>
      </c>
      <c r="G232" s="274">
        <v>50</v>
      </c>
      <c r="H232" s="275">
        <v>2.5</v>
      </c>
      <c r="I232" s="277">
        <v>4.05</v>
      </c>
      <c r="J232" s="18">
        <f t="shared" si="16"/>
        <v>56.55</v>
      </c>
      <c r="K232" s="35"/>
      <c r="L232" s="36">
        <f t="shared" si="17"/>
        <v>0</v>
      </c>
      <c r="M232" s="215"/>
      <c r="N232" s="40"/>
    </row>
    <row r="233" spans="1:14" ht="15.75">
      <c r="A233" s="11">
        <f t="shared" si="12"/>
        <v>227</v>
      </c>
      <c r="B233" s="333" t="s">
        <v>1021</v>
      </c>
      <c r="C233" s="19"/>
      <c r="D233" s="19"/>
      <c r="E233" s="316" t="s">
        <v>1022</v>
      </c>
      <c r="F233" s="281">
        <v>52.5</v>
      </c>
      <c r="G233" s="274">
        <v>50</v>
      </c>
      <c r="H233" s="275">
        <v>2.5</v>
      </c>
      <c r="I233" s="277"/>
      <c r="J233" s="18">
        <f t="shared" si="16"/>
        <v>52.5</v>
      </c>
      <c r="K233" s="35"/>
      <c r="L233" s="36">
        <f t="shared" si="17"/>
        <v>0</v>
      </c>
      <c r="M233" s="215"/>
      <c r="N233" s="40"/>
    </row>
    <row r="234" spans="1:14" ht="15.75">
      <c r="A234" s="11">
        <f t="shared" si="12"/>
        <v>228</v>
      </c>
      <c r="B234" s="333" t="s">
        <v>1023</v>
      </c>
      <c r="C234" s="19"/>
      <c r="D234" s="19"/>
      <c r="E234" s="316" t="s">
        <v>1046</v>
      </c>
      <c r="F234" s="281">
        <v>52.5</v>
      </c>
      <c r="G234" s="274">
        <v>50</v>
      </c>
      <c r="H234" s="275">
        <v>2.5</v>
      </c>
      <c r="I234" s="277"/>
      <c r="J234" s="18">
        <f t="shared" si="16"/>
        <v>52.5</v>
      </c>
      <c r="K234" s="35"/>
      <c r="L234" s="36">
        <f t="shared" si="17"/>
        <v>0</v>
      </c>
      <c r="M234" s="215"/>
      <c r="N234" s="40"/>
    </row>
    <row r="235" spans="1:14" ht="15.75">
      <c r="A235" s="11">
        <f t="shared" si="12"/>
        <v>229</v>
      </c>
      <c r="B235" s="333" t="s">
        <v>1025</v>
      </c>
      <c r="C235" s="19"/>
      <c r="D235" s="19">
        <v>101681</v>
      </c>
      <c r="E235" s="316" t="s">
        <v>1026</v>
      </c>
      <c r="F235" s="281">
        <v>52.5</v>
      </c>
      <c r="G235" s="274">
        <v>50</v>
      </c>
      <c r="H235" s="275">
        <v>2.5</v>
      </c>
      <c r="I235" s="277"/>
      <c r="J235" s="18">
        <f t="shared" si="16"/>
        <v>52.5</v>
      </c>
      <c r="K235" s="35"/>
      <c r="L235" s="36">
        <f t="shared" si="17"/>
        <v>0</v>
      </c>
      <c r="M235" s="215"/>
      <c r="N235" s="195"/>
    </row>
    <row r="236" spans="1:14" ht="15.75">
      <c r="A236" s="343">
        <f t="shared" si="12"/>
        <v>230</v>
      </c>
      <c r="B236" s="267" t="s">
        <v>1027</v>
      </c>
      <c r="C236" s="276"/>
      <c r="D236" s="344">
        <v>105501</v>
      </c>
      <c r="E236" s="317" t="s">
        <v>1028</v>
      </c>
      <c r="F236" s="268">
        <v>52.5</v>
      </c>
      <c r="G236" s="269">
        <v>50</v>
      </c>
      <c r="H236" s="270">
        <v>2.5</v>
      </c>
      <c r="I236" s="345"/>
      <c r="J236" s="346">
        <f t="shared" si="16"/>
        <v>52.5</v>
      </c>
      <c r="K236" s="347"/>
      <c r="L236" s="348">
        <f t="shared" si="17"/>
        <v>0</v>
      </c>
      <c r="M236" s="271"/>
      <c r="N236" s="194"/>
    </row>
    <row r="237" spans="1:14" ht="15.75">
      <c r="A237" s="136">
        <f>1+A296</f>
        <v>55</v>
      </c>
      <c r="B237" s="301" t="s">
        <v>1047</v>
      </c>
      <c r="C237" s="197"/>
      <c r="D237" s="197">
        <v>105524</v>
      </c>
      <c r="E237" s="302" t="s">
        <v>1048</v>
      </c>
      <c r="F237" s="14">
        <v>16.87</v>
      </c>
      <c r="G237" s="238">
        <v>16.07</v>
      </c>
      <c r="H237" s="131">
        <v>0.8</v>
      </c>
      <c r="I237" s="14"/>
      <c r="J237" s="18">
        <f>SUM(G237+H237+I237)</f>
        <v>16.87</v>
      </c>
      <c r="K237" s="32"/>
      <c r="L237" s="33">
        <f>+(F237-((SUM(J237+K237))))</f>
        <v>0</v>
      </c>
      <c r="M237" s="215"/>
      <c r="N237" s="6"/>
    </row>
    <row r="238" spans="1:14" ht="15.75">
      <c r="A238" s="136">
        <f>1+A237</f>
        <v>56</v>
      </c>
      <c r="B238" s="301" t="s">
        <v>1049</v>
      </c>
      <c r="C238" s="197"/>
      <c r="D238" s="197">
        <v>105362</v>
      </c>
      <c r="E238" s="302" t="s">
        <v>1020</v>
      </c>
      <c r="F238" s="14">
        <v>16.87</v>
      </c>
      <c r="G238" s="238">
        <v>16.07</v>
      </c>
      <c r="H238" s="131">
        <v>0.8</v>
      </c>
      <c r="I238" s="14"/>
      <c r="J238" s="18">
        <f>SUM(G238+H238+I238)</f>
        <v>16.87</v>
      </c>
      <c r="K238" s="32"/>
      <c r="L238" s="33">
        <f>+(F238-((SUM(J238+K238))))</f>
        <v>0</v>
      </c>
      <c r="M238" s="215"/>
    </row>
    <row r="239" spans="1:14" ht="16.5" thickBot="1">
      <c r="A239" s="136">
        <f>1+A294</f>
        <v>53</v>
      </c>
      <c r="B239" s="132" t="s">
        <v>1050</v>
      </c>
      <c r="C239" s="197"/>
      <c r="D239" s="197">
        <v>105554</v>
      </c>
      <c r="E239" s="302" t="s">
        <v>1051</v>
      </c>
      <c r="F239" s="14">
        <v>16.87</v>
      </c>
      <c r="G239" s="238">
        <v>16.07</v>
      </c>
      <c r="H239" s="131">
        <v>0.8</v>
      </c>
      <c r="I239" s="14"/>
      <c r="J239" s="18">
        <f>SUM(G239+H239+I239)</f>
        <v>16.87</v>
      </c>
      <c r="K239" s="32"/>
      <c r="L239" s="33">
        <f>+(F239-((SUM(J239+K239))))</f>
        <v>0</v>
      </c>
      <c r="M239" s="215"/>
      <c r="N239" s="194"/>
    </row>
    <row r="240" spans="1:14" ht="16.5" thickBot="1">
      <c r="A240" s="349"/>
      <c r="B240" s="64"/>
      <c r="C240" s="64"/>
      <c r="D240" s="350"/>
      <c r="E240" s="318" t="s">
        <v>795</v>
      </c>
      <c r="F240" s="253">
        <f>SUM(F7:F239)</f>
        <v>29450.549999999996</v>
      </c>
      <c r="G240" s="253">
        <f t="shared" ref="G240:I240" si="18">SUM(G7:G239)</f>
        <v>24753.07</v>
      </c>
      <c r="H240" s="253">
        <f t="shared" si="18"/>
        <v>1235.1600000000001</v>
      </c>
      <c r="I240" s="253">
        <f t="shared" si="18"/>
        <v>3375.3200000000006</v>
      </c>
      <c r="J240" s="253">
        <f>SUM(J7:J239)</f>
        <v>29363.549999999996</v>
      </c>
      <c r="K240" s="253">
        <f t="shared" ref="K240" si="19">SUM(K7:K239)</f>
        <v>87</v>
      </c>
      <c r="L240" s="253">
        <f t="shared" ref="L240" si="20">SUM(L7:L239)</f>
        <v>2.8421709430404007E-14</v>
      </c>
      <c r="M240" s="219"/>
      <c r="N240" s="6" t="s">
        <v>557</v>
      </c>
    </row>
    <row r="241" spans="1:14" ht="16.5" thickBot="1">
      <c r="A241" s="66"/>
      <c r="B241" s="67"/>
      <c r="C241" s="198"/>
      <c r="D241" s="198"/>
      <c r="E241" s="319"/>
      <c r="F241" s="254"/>
      <c r="G241" s="68"/>
      <c r="H241" s="68"/>
      <c r="I241" s="254"/>
      <c r="J241" s="68"/>
      <c r="K241" s="68"/>
      <c r="L241" s="68"/>
      <c r="M241" s="220"/>
      <c r="N241" s="6" t="s">
        <v>559</v>
      </c>
    </row>
    <row r="242" spans="1:14" ht="15.75">
      <c r="A242" s="150"/>
      <c r="B242" s="151" t="s">
        <v>796</v>
      </c>
      <c r="C242" s="151"/>
      <c r="D242" s="337"/>
      <c r="E242" s="320"/>
      <c r="F242" s="255"/>
      <c r="G242" s="239"/>
      <c r="H242" s="239"/>
      <c r="I242" s="255"/>
      <c r="J242" s="239"/>
      <c r="K242" s="239"/>
      <c r="L242" s="239"/>
      <c r="M242" s="240"/>
      <c r="N242" s="6"/>
    </row>
    <row r="243" spans="1:14" ht="15.75">
      <c r="A243" s="136">
        <v>1</v>
      </c>
      <c r="B243" s="19" t="s">
        <v>797</v>
      </c>
      <c r="C243" s="19" t="s">
        <v>1029</v>
      </c>
      <c r="D243" s="19">
        <v>101243</v>
      </c>
      <c r="E243" s="321" t="s">
        <v>294</v>
      </c>
      <c r="F243" s="14">
        <v>1041.25</v>
      </c>
      <c r="G243" s="53">
        <v>325</v>
      </c>
      <c r="H243" s="54">
        <v>16.25</v>
      </c>
      <c r="I243" s="248">
        <v>700</v>
      </c>
      <c r="J243" s="18">
        <f>SUM(G243:I243)</f>
        <v>1041.25</v>
      </c>
      <c r="K243" s="77"/>
      <c r="L243" s="33">
        <f t="shared" ref="L243:L288" si="21">+(F243-((SUM(J243+K243))))</f>
        <v>0</v>
      </c>
      <c r="M243" s="215"/>
    </row>
    <row r="244" spans="1:14" ht="15.75">
      <c r="A244" s="136">
        <f>1+A243</f>
        <v>2</v>
      </c>
      <c r="B244" s="19" t="s">
        <v>798</v>
      </c>
      <c r="C244" s="19" t="s">
        <v>1029</v>
      </c>
      <c r="D244" s="19">
        <v>101013</v>
      </c>
      <c r="E244" s="321" t="s">
        <v>297</v>
      </c>
      <c r="F244" s="14">
        <v>210</v>
      </c>
      <c r="G244" s="53">
        <v>200</v>
      </c>
      <c r="H244" s="54">
        <v>10</v>
      </c>
      <c r="I244" s="248"/>
      <c r="J244" s="18">
        <f>SUM(G244:I244)</f>
        <v>210</v>
      </c>
      <c r="K244" s="77"/>
      <c r="L244" s="33">
        <f t="shared" si="21"/>
        <v>0</v>
      </c>
      <c r="M244" s="215"/>
    </row>
    <row r="245" spans="1:14" ht="15.75">
      <c r="A245" s="136">
        <f t="shared" ref="A245:A296" si="22">1+A244</f>
        <v>3</v>
      </c>
      <c r="B245" s="116" t="s">
        <v>799</v>
      </c>
      <c r="C245" s="19" t="s">
        <v>1029</v>
      </c>
      <c r="D245" s="19">
        <v>101879</v>
      </c>
      <c r="E245" s="302" t="s">
        <v>800</v>
      </c>
      <c r="F245" s="14">
        <v>52.5</v>
      </c>
      <c r="G245" s="74">
        <v>50</v>
      </c>
      <c r="H245" s="54">
        <v>2.5</v>
      </c>
      <c r="I245" s="14"/>
      <c r="J245" s="18">
        <f t="shared" ref="J245:J250" si="23">SUM(G245:I245)</f>
        <v>52.5</v>
      </c>
      <c r="K245" s="32"/>
      <c r="L245" s="33">
        <f t="shared" si="21"/>
        <v>0</v>
      </c>
      <c r="M245" s="215"/>
    </row>
    <row r="246" spans="1:14" ht="15.75">
      <c r="A246" s="136">
        <f t="shared" si="22"/>
        <v>4</v>
      </c>
      <c r="B246" s="19" t="s">
        <v>813</v>
      </c>
      <c r="C246" s="19" t="s">
        <v>1029</v>
      </c>
      <c r="D246" s="19">
        <v>101056</v>
      </c>
      <c r="E246" s="302" t="s">
        <v>101</v>
      </c>
      <c r="F246" s="14">
        <v>52.5</v>
      </c>
      <c r="G246" s="74">
        <v>50</v>
      </c>
      <c r="H246" s="75">
        <v>2.5</v>
      </c>
      <c r="I246" s="14"/>
      <c r="J246" s="18">
        <f t="shared" si="23"/>
        <v>52.5</v>
      </c>
      <c r="K246" s="32"/>
      <c r="L246" s="33">
        <f t="shared" si="21"/>
        <v>0</v>
      </c>
      <c r="M246" s="215"/>
    </row>
    <row r="247" spans="1:14" ht="15.75">
      <c r="A247" s="136">
        <f t="shared" si="22"/>
        <v>5</v>
      </c>
      <c r="B247" s="19" t="s">
        <v>801</v>
      </c>
      <c r="C247" s="19" t="s">
        <v>1029</v>
      </c>
      <c r="D247" s="19">
        <v>101332</v>
      </c>
      <c r="E247" s="305" t="s">
        <v>82</v>
      </c>
      <c r="F247" s="14">
        <v>181.4</v>
      </c>
      <c r="G247" s="74">
        <v>125</v>
      </c>
      <c r="H247" s="75">
        <v>8.67</v>
      </c>
      <c r="I247" s="14">
        <v>2.29</v>
      </c>
      <c r="J247" s="18">
        <f t="shared" si="23"/>
        <v>135.95999999999998</v>
      </c>
      <c r="K247" s="32">
        <v>45.44</v>
      </c>
      <c r="L247" s="33">
        <f t="shared" si="21"/>
        <v>2.8421709430404007E-14</v>
      </c>
      <c r="M247" s="37" t="s">
        <v>947</v>
      </c>
    </row>
    <row r="248" spans="1:14" ht="15.75">
      <c r="A248" s="136">
        <f t="shared" si="22"/>
        <v>6</v>
      </c>
      <c r="B248" s="19" t="s">
        <v>802</v>
      </c>
      <c r="C248" s="19" t="s">
        <v>1029</v>
      </c>
      <c r="D248" s="19">
        <v>101844</v>
      </c>
      <c r="E248" s="305" t="s">
        <v>803</v>
      </c>
      <c r="F248" s="14">
        <v>52.5</v>
      </c>
      <c r="G248" s="74">
        <v>50</v>
      </c>
      <c r="H248" s="75">
        <v>2.5</v>
      </c>
      <c r="I248" s="14"/>
      <c r="J248" s="18">
        <f t="shared" si="23"/>
        <v>52.5</v>
      </c>
      <c r="K248" s="32"/>
      <c r="L248" s="33">
        <f t="shared" si="21"/>
        <v>0</v>
      </c>
      <c r="M248" s="215"/>
    </row>
    <row r="249" spans="1:14" ht="15.75">
      <c r="A249" s="136">
        <f t="shared" si="22"/>
        <v>7</v>
      </c>
      <c r="B249" s="19" t="s">
        <v>804</v>
      </c>
      <c r="C249" s="19" t="s">
        <v>1029</v>
      </c>
      <c r="D249" s="19">
        <v>101036</v>
      </c>
      <c r="E249" s="305" t="s">
        <v>805</v>
      </c>
      <c r="F249" s="14">
        <v>105</v>
      </c>
      <c r="G249" s="53">
        <v>100</v>
      </c>
      <c r="H249" s="54">
        <v>5</v>
      </c>
      <c r="I249" s="248"/>
      <c r="J249" s="18">
        <f t="shared" si="23"/>
        <v>105</v>
      </c>
      <c r="K249" s="32"/>
      <c r="L249" s="33">
        <f t="shared" si="21"/>
        <v>0</v>
      </c>
      <c r="M249" s="215"/>
      <c r="N249" s="6"/>
    </row>
    <row r="250" spans="1:14" ht="15.75">
      <c r="A250" s="136">
        <f t="shared" si="22"/>
        <v>8</v>
      </c>
      <c r="B250" s="30" t="s">
        <v>806</v>
      </c>
      <c r="C250" s="19" t="s">
        <v>1029</v>
      </c>
      <c r="D250" s="19">
        <v>101727</v>
      </c>
      <c r="E250" s="309" t="s">
        <v>807</v>
      </c>
      <c r="F250" s="249">
        <v>188.34</v>
      </c>
      <c r="G250" s="74">
        <v>100</v>
      </c>
      <c r="H250" s="75">
        <v>5</v>
      </c>
      <c r="I250" s="249">
        <v>83.34</v>
      </c>
      <c r="J250" s="18">
        <f t="shared" si="23"/>
        <v>188.34</v>
      </c>
      <c r="K250" s="32"/>
      <c r="L250" s="33">
        <f t="shared" si="21"/>
        <v>0</v>
      </c>
      <c r="M250" s="215"/>
      <c r="N250" s="6"/>
    </row>
    <row r="251" spans="1:14" ht="15.75">
      <c r="A251" s="136">
        <f t="shared" si="22"/>
        <v>9</v>
      </c>
      <c r="B251" s="19" t="s">
        <v>808</v>
      </c>
      <c r="C251" s="19" t="s">
        <v>1029</v>
      </c>
      <c r="D251" s="19">
        <v>101709</v>
      </c>
      <c r="E251" s="305" t="s">
        <v>809</v>
      </c>
      <c r="F251" s="14">
        <v>105</v>
      </c>
      <c r="G251" s="74">
        <v>100</v>
      </c>
      <c r="H251" s="75">
        <v>5</v>
      </c>
      <c r="I251" s="14"/>
      <c r="J251" s="18">
        <f t="shared" ref="J251:J291" si="24">SUM(G251+H251+I251)</f>
        <v>105</v>
      </c>
      <c r="K251" s="32"/>
      <c r="L251" s="33">
        <f t="shared" si="21"/>
        <v>0</v>
      </c>
      <c r="M251" s="37"/>
      <c r="N251" s="6"/>
    </row>
    <row r="252" spans="1:14" ht="15.75">
      <c r="A252" s="136">
        <f t="shared" si="22"/>
        <v>10</v>
      </c>
      <c r="B252" s="19" t="s">
        <v>810</v>
      </c>
      <c r="C252" s="19" t="s">
        <v>1029</v>
      </c>
      <c r="D252" s="19">
        <v>101563</v>
      </c>
      <c r="E252" s="302" t="s">
        <v>811</v>
      </c>
      <c r="F252" s="14">
        <v>52.5</v>
      </c>
      <c r="G252" s="20">
        <v>50</v>
      </c>
      <c r="H252" s="21">
        <v>2.5</v>
      </c>
      <c r="I252" s="14"/>
      <c r="J252" s="18">
        <f t="shared" si="24"/>
        <v>52.5</v>
      </c>
      <c r="K252" s="32"/>
      <c r="L252" s="33">
        <f t="shared" si="21"/>
        <v>0</v>
      </c>
      <c r="M252" s="215"/>
      <c r="N252" s="6"/>
    </row>
    <row r="253" spans="1:14" ht="15.75">
      <c r="A253" s="136">
        <f t="shared" si="22"/>
        <v>11</v>
      </c>
      <c r="B253" s="28" t="s">
        <v>815</v>
      </c>
      <c r="C253" s="55" t="s">
        <v>1029</v>
      </c>
      <c r="D253" s="19">
        <v>101894</v>
      </c>
      <c r="E253" s="322" t="s">
        <v>816</v>
      </c>
      <c r="F253" s="14">
        <v>52.5</v>
      </c>
      <c r="G253" s="74">
        <v>50</v>
      </c>
      <c r="H253" s="241">
        <v>2.5</v>
      </c>
      <c r="I253" s="14"/>
      <c r="J253" s="18">
        <f>SUM(G253+H253+I253)</f>
        <v>52.5</v>
      </c>
      <c r="K253" s="32"/>
      <c r="L253" s="33">
        <f>+(F253-((SUM(J253+K253))))</f>
        <v>0</v>
      </c>
      <c r="M253" s="218"/>
      <c r="N253" s="6"/>
    </row>
    <row r="254" spans="1:14" ht="15.75">
      <c r="A254" s="136">
        <f t="shared" si="22"/>
        <v>12</v>
      </c>
      <c r="B254" s="19" t="s">
        <v>812</v>
      </c>
      <c r="C254" s="19" t="s">
        <v>1029</v>
      </c>
      <c r="D254" s="19">
        <v>101051</v>
      </c>
      <c r="E254" s="305" t="s">
        <v>91</v>
      </c>
      <c r="F254" s="14">
        <v>105</v>
      </c>
      <c r="G254" s="74">
        <v>100</v>
      </c>
      <c r="H254" s="75">
        <v>5</v>
      </c>
      <c r="I254" s="14"/>
      <c r="J254" s="18">
        <f t="shared" si="24"/>
        <v>105</v>
      </c>
      <c r="K254" s="32"/>
      <c r="L254" s="33">
        <f t="shared" si="21"/>
        <v>0</v>
      </c>
      <c r="M254" s="215"/>
      <c r="N254" s="6"/>
    </row>
    <row r="255" spans="1:14" ht="15.75">
      <c r="A255" s="136">
        <f t="shared" si="22"/>
        <v>13</v>
      </c>
      <c r="B255" s="19" t="s">
        <v>817</v>
      </c>
      <c r="C255" s="19" t="s">
        <v>1029</v>
      </c>
      <c r="D255" s="19">
        <v>101261</v>
      </c>
      <c r="E255" s="302" t="s">
        <v>99</v>
      </c>
      <c r="F255" s="14">
        <v>105</v>
      </c>
      <c r="G255" s="74">
        <v>100</v>
      </c>
      <c r="H255" s="75">
        <v>5</v>
      </c>
      <c r="I255" s="14"/>
      <c r="J255" s="18">
        <f>SUM(G255+H255+I255)</f>
        <v>105</v>
      </c>
      <c r="K255" s="32"/>
      <c r="L255" s="33">
        <f>+(F255-((SUM(J255+K255))))</f>
        <v>0</v>
      </c>
      <c r="M255" s="215"/>
      <c r="N255" s="6"/>
    </row>
    <row r="256" spans="1:14" ht="15.75">
      <c r="A256" s="136">
        <f t="shared" si="22"/>
        <v>14</v>
      </c>
      <c r="B256" s="30" t="s">
        <v>814</v>
      </c>
      <c r="C256" s="19" t="s">
        <v>1029</v>
      </c>
      <c r="D256" s="19">
        <v>101300</v>
      </c>
      <c r="E256" s="308" t="s">
        <v>115</v>
      </c>
      <c r="F256" s="249">
        <v>105</v>
      </c>
      <c r="G256" s="74">
        <v>100</v>
      </c>
      <c r="H256" s="75">
        <v>5</v>
      </c>
      <c r="I256" s="249"/>
      <c r="J256" s="25">
        <f t="shared" si="24"/>
        <v>105</v>
      </c>
      <c r="K256" s="35"/>
      <c r="L256" s="33">
        <f t="shared" si="21"/>
        <v>0</v>
      </c>
      <c r="M256" s="37"/>
      <c r="N256" s="6"/>
    </row>
    <row r="257" spans="1:15" ht="15.75">
      <c r="A257" s="136">
        <f t="shared" si="22"/>
        <v>15</v>
      </c>
      <c r="B257" s="19" t="s">
        <v>818</v>
      </c>
      <c r="C257" s="19" t="s">
        <v>1029</v>
      </c>
      <c r="D257" s="19">
        <v>101023</v>
      </c>
      <c r="E257" s="305" t="s">
        <v>819</v>
      </c>
      <c r="F257" s="14">
        <v>210</v>
      </c>
      <c r="G257" s="53">
        <v>200</v>
      </c>
      <c r="H257" s="54">
        <v>10</v>
      </c>
      <c r="I257" s="248"/>
      <c r="J257" s="25">
        <f t="shared" si="24"/>
        <v>210</v>
      </c>
      <c r="K257" s="32"/>
      <c r="L257" s="33">
        <f t="shared" si="21"/>
        <v>0</v>
      </c>
      <c r="M257" s="37"/>
      <c r="N257" s="6"/>
    </row>
    <row r="258" spans="1:15" ht="15.75">
      <c r="A258" s="136">
        <f t="shared" si="22"/>
        <v>16</v>
      </c>
      <c r="B258" s="30" t="s">
        <v>820</v>
      </c>
      <c r="C258" s="19" t="s">
        <v>1029</v>
      </c>
      <c r="D258" s="19">
        <v>101014</v>
      </c>
      <c r="E258" s="309" t="s">
        <v>821</v>
      </c>
      <c r="F258" s="249">
        <v>210</v>
      </c>
      <c r="G258" s="74">
        <v>200</v>
      </c>
      <c r="H258" s="75">
        <v>10</v>
      </c>
      <c r="I258" s="248"/>
      <c r="J258" s="25">
        <f t="shared" si="24"/>
        <v>210</v>
      </c>
      <c r="K258" s="76"/>
      <c r="L258" s="36">
        <f t="shared" si="21"/>
        <v>0</v>
      </c>
      <c r="M258" s="37"/>
      <c r="N258" s="6"/>
    </row>
    <row r="259" spans="1:15" ht="15.75">
      <c r="A259" s="136">
        <f t="shared" si="22"/>
        <v>17</v>
      </c>
      <c r="B259" s="19" t="s">
        <v>824</v>
      </c>
      <c r="C259" s="19" t="s">
        <v>1029</v>
      </c>
      <c r="D259" s="19">
        <v>101693</v>
      </c>
      <c r="E259" s="305" t="s">
        <v>1030</v>
      </c>
      <c r="F259" s="14">
        <v>105</v>
      </c>
      <c r="G259" s="53">
        <v>100</v>
      </c>
      <c r="H259" s="54">
        <v>5</v>
      </c>
      <c r="I259" s="248"/>
      <c r="J259" s="25">
        <f t="shared" si="24"/>
        <v>105</v>
      </c>
      <c r="K259" s="77"/>
      <c r="L259" s="33">
        <f t="shared" si="21"/>
        <v>0</v>
      </c>
      <c r="M259" s="215"/>
      <c r="N259" s="6"/>
    </row>
    <row r="260" spans="1:15" ht="15.75">
      <c r="A260" s="136">
        <f t="shared" si="22"/>
        <v>18</v>
      </c>
      <c r="B260" s="12" t="s">
        <v>826</v>
      </c>
      <c r="C260" s="19" t="s">
        <v>1029</v>
      </c>
      <c r="D260" s="19">
        <v>101693</v>
      </c>
      <c r="E260" s="305" t="s">
        <v>1031</v>
      </c>
      <c r="F260" s="14">
        <v>105</v>
      </c>
      <c r="G260" s="74">
        <v>100</v>
      </c>
      <c r="H260" s="75">
        <v>5</v>
      </c>
      <c r="I260" s="14"/>
      <c r="J260" s="25">
        <f t="shared" si="24"/>
        <v>105</v>
      </c>
      <c r="K260" s="32"/>
      <c r="L260" s="33">
        <f t="shared" si="21"/>
        <v>0</v>
      </c>
      <c r="M260" s="215"/>
      <c r="N260" s="6"/>
    </row>
    <row r="261" spans="1:15" ht="15.75">
      <c r="A261" s="136">
        <f t="shared" si="22"/>
        <v>19</v>
      </c>
      <c r="B261" s="145" t="s">
        <v>831</v>
      </c>
      <c r="C261" s="145" t="s">
        <v>1029</v>
      </c>
      <c r="D261" s="19">
        <v>101692</v>
      </c>
      <c r="E261" s="323" t="s">
        <v>210</v>
      </c>
      <c r="F261" s="256">
        <v>204.13</v>
      </c>
      <c r="G261" s="70">
        <v>100</v>
      </c>
      <c r="H261" s="71">
        <v>5</v>
      </c>
      <c r="I261" s="256">
        <v>99.13</v>
      </c>
      <c r="J261" s="25">
        <f t="shared" si="24"/>
        <v>204.13</v>
      </c>
      <c r="K261" s="146"/>
      <c r="L261" s="47">
        <f t="shared" si="21"/>
        <v>0</v>
      </c>
      <c r="M261" s="215"/>
      <c r="N261" s="6"/>
    </row>
    <row r="262" spans="1:15" ht="15.75">
      <c r="A262" s="136">
        <f t="shared" si="22"/>
        <v>20</v>
      </c>
      <c r="B262" s="19" t="s">
        <v>832</v>
      </c>
      <c r="C262" s="19" t="s">
        <v>1029</v>
      </c>
      <c r="D262" s="19">
        <v>101719</v>
      </c>
      <c r="E262" s="302" t="s">
        <v>833</v>
      </c>
      <c r="F262" s="14">
        <v>208.12</v>
      </c>
      <c r="G262" s="74">
        <v>125</v>
      </c>
      <c r="H262" s="75">
        <v>6.25</v>
      </c>
      <c r="I262" s="14">
        <v>76.87</v>
      </c>
      <c r="J262" s="25">
        <f t="shared" si="24"/>
        <v>208.12</v>
      </c>
      <c r="K262" s="32"/>
      <c r="L262" s="33">
        <f t="shared" si="21"/>
        <v>0</v>
      </c>
      <c r="M262" s="215"/>
      <c r="N262" s="6"/>
      <c r="O262" s="6"/>
    </row>
    <row r="263" spans="1:15" ht="15.75">
      <c r="A263" s="136">
        <f t="shared" si="22"/>
        <v>21</v>
      </c>
      <c r="B263" s="19" t="s">
        <v>836</v>
      </c>
      <c r="C263" s="19" t="s">
        <v>1029</v>
      </c>
      <c r="D263" s="19">
        <v>101734</v>
      </c>
      <c r="E263" s="305" t="s">
        <v>381</v>
      </c>
      <c r="F263" s="14">
        <v>220.13</v>
      </c>
      <c r="G263" s="20">
        <v>190</v>
      </c>
      <c r="H263" s="21">
        <v>9.5</v>
      </c>
      <c r="I263" s="14">
        <v>20.63</v>
      </c>
      <c r="J263" s="25">
        <f t="shared" si="24"/>
        <v>220.13</v>
      </c>
      <c r="K263" s="32"/>
      <c r="L263" s="33">
        <f t="shared" si="21"/>
        <v>0</v>
      </c>
      <c r="M263" s="215"/>
      <c r="N263" s="6"/>
    </row>
    <row r="264" spans="1:15" ht="15.75">
      <c r="A264" s="136">
        <f t="shared" si="22"/>
        <v>22</v>
      </c>
      <c r="B264" s="132" t="s">
        <v>837</v>
      </c>
      <c r="C264" s="19" t="s">
        <v>1029</v>
      </c>
      <c r="D264" s="197">
        <v>101911</v>
      </c>
      <c r="E264" s="302" t="s">
        <v>838</v>
      </c>
      <c r="F264" s="14">
        <v>105</v>
      </c>
      <c r="G264" s="238">
        <v>100</v>
      </c>
      <c r="H264" s="131">
        <v>5</v>
      </c>
      <c r="I264" s="14"/>
      <c r="J264" s="25">
        <f t="shared" si="24"/>
        <v>105</v>
      </c>
      <c r="K264" s="32"/>
      <c r="L264" s="33">
        <f t="shared" si="21"/>
        <v>0</v>
      </c>
      <c r="M264" s="42"/>
      <c r="N264" s="6"/>
    </row>
    <row r="265" spans="1:15" ht="15.75">
      <c r="A265" s="136">
        <f t="shared" si="22"/>
        <v>23</v>
      </c>
      <c r="B265" s="19" t="s">
        <v>839</v>
      </c>
      <c r="C265" s="19" t="s">
        <v>1029</v>
      </c>
      <c r="D265" s="19">
        <v>101729</v>
      </c>
      <c r="E265" s="305" t="s">
        <v>840</v>
      </c>
      <c r="F265" s="14">
        <v>135.97</v>
      </c>
      <c r="G265" s="20">
        <v>100</v>
      </c>
      <c r="H265" s="21">
        <v>5</v>
      </c>
      <c r="I265" s="14">
        <v>30.97</v>
      </c>
      <c r="J265" s="25">
        <f t="shared" si="24"/>
        <v>135.97</v>
      </c>
      <c r="K265" s="32"/>
      <c r="L265" s="33">
        <f t="shared" si="21"/>
        <v>0</v>
      </c>
      <c r="M265" s="215"/>
      <c r="N265" s="6"/>
    </row>
    <row r="266" spans="1:15" ht="15.75">
      <c r="A266" s="136">
        <f t="shared" si="22"/>
        <v>24</v>
      </c>
      <c r="B266" s="19" t="s">
        <v>841</v>
      </c>
      <c r="C266" s="19" t="s">
        <v>1029</v>
      </c>
      <c r="D266" s="19">
        <v>101275</v>
      </c>
      <c r="E266" s="302" t="s">
        <v>842</v>
      </c>
      <c r="F266" s="14">
        <v>105</v>
      </c>
      <c r="G266" s="53">
        <v>100</v>
      </c>
      <c r="H266" s="54">
        <v>5</v>
      </c>
      <c r="I266" s="248"/>
      <c r="J266" s="25">
        <f t="shared" si="24"/>
        <v>105</v>
      </c>
      <c r="K266" s="61"/>
      <c r="L266" s="33">
        <f t="shared" si="21"/>
        <v>0</v>
      </c>
      <c r="M266" s="37"/>
      <c r="N266" s="6"/>
    </row>
    <row r="267" spans="1:15" ht="15.75">
      <c r="A267" s="136">
        <f t="shared" si="22"/>
        <v>25</v>
      </c>
      <c r="B267" s="132" t="s">
        <v>843</v>
      </c>
      <c r="C267" s="197" t="s">
        <v>1029</v>
      </c>
      <c r="D267" s="197">
        <v>105048</v>
      </c>
      <c r="E267" s="302" t="s">
        <v>844</v>
      </c>
      <c r="F267" s="14">
        <v>117.65</v>
      </c>
      <c r="G267" s="238">
        <v>75</v>
      </c>
      <c r="H267" s="131">
        <v>3.2</v>
      </c>
      <c r="I267" s="14">
        <v>39.450000000000003</v>
      </c>
      <c r="J267" s="25">
        <f t="shared" si="24"/>
        <v>117.65</v>
      </c>
      <c r="K267" s="32"/>
      <c r="L267" s="33">
        <f t="shared" si="21"/>
        <v>0</v>
      </c>
      <c r="M267" s="215"/>
      <c r="N267" s="6"/>
    </row>
    <row r="268" spans="1:15" ht="15.75">
      <c r="A268" s="136">
        <f t="shared" si="22"/>
        <v>26</v>
      </c>
      <c r="B268" s="19" t="s">
        <v>44</v>
      </c>
      <c r="C268" s="19" t="s">
        <v>1029</v>
      </c>
      <c r="D268" s="19">
        <v>101743</v>
      </c>
      <c r="E268" s="302" t="s">
        <v>845</v>
      </c>
      <c r="F268" s="14">
        <v>196.67</v>
      </c>
      <c r="G268" s="53">
        <v>100</v>
      </c>
      <c r="H268" s="54">
        <v>5</v>
      </c>
      <c r="I268" s="14">
        <v>91.67</v>
      </c>
      <c r="J268" s="25">
        <f t="shared" si="24"/>
        <v>196.67000000000002</v>
      </c>
      <c r="K268" s="32"/>
      <c r="L268" s="33">
        <f t="shared" si="21"/>
        <v>-2.8421709430404007E-14</v>
      </c>
      <c r="M268" s="215"/>
      <c r="N268" s="6"/>
    </row>
    <row r="269" spans="1:15" ht="15.75">
      <c r="A269" s="136">
        <f t="shared" si="22"/>
        <v>27</v>
      </c>
      <c r="B269" s="19" t="s">
        <v>846</v>
      </c>
      <c r="C269" s="19" t="s">
        <v>1029</v>
      </c>
      <c r="D269" s="19">
        <v>101572</v>
      </c>
      <c r="E269" s="302" t="s">
        <v>335</v>
      </c>
      <c r="F269" s="14">
        <v>105</v>
      </c>
      <c r="G269" s="74">
        <v>100</v>
      </c>
      <c r="H269" s="75">
        <v>5</v>
      </c>
      <c r="I269" s="257"/>
      <c r="J269" s="25">
        <f t="shared" si="24"/>
        <v>105</v>
      </c>
      <c r="K269" s="32"/>
      <c r="L269" s="33">
        <f t="shared" si="21"/>
        <v>0</v>
      </c>
      <c r="M269" s="37"/>
      <c r="N269" s="6"/>
    </row>
    <row r="270" spans="1:15" ht="15.75">
      <c r="A270" s="136">
        <f t="shared" si="22"/>
        <v>28</v>
      </c>
      <c r="B270" s="30" t="s">
        <v>847</v>
      </c>
      <c r="C270" s="19" t="s">
        <v>1029</v>
      </c>
      <c r="D270" s="19">
        <v>101106</v>
      </c>
      <c r="E270" s="308" t="s">
        <v>337</v>
      </c>
      <c r="F270" s="249">
        <v>105</v>
      </c>
      <c r="G270" s="74">
        <v>100</v>
      </c>
      <c r="H270" s="75">
        <v>5</v>
      </c>
      <c r="I270" s="248"/>
      <c r="J270" s="25">
        <f t="shared" si="24"/>
        <v>105</v>
      </c>
      <c r="K270" s="35"/>
      <c r="L270" s="33">
        <f t="shared" si="21"/>
        <v>0</v>
      </c>
      <c r="M270" s="37"/>
      <c r="N270" s="6"/>
    </row>
    <row r="271" spans="1:15" ht="15.75">
      <c r="A271" s="136">
        <f t="shared" si="22"/>
        <v>29</v>
      </c>
      <c r="B271" s="19" t="s">
        <v>848</v>
      </c>
      <c r="C271" s="19" t="s">
        <v>1029</v>
      </c>
      <c r="D271" s="19">
        <v>101700</v>
      </c>
      <c r="E271" s="302" t="s">
        <v>339</v>
      </c>
      <c r="F271" s="14">
        <v>105</v>
      </c>
      <c r="G271" s="74">
        <v>100</v>
      </c>
      <c r="H271" s="75">
        <v>5</v>
      </c>
      <c r="I271" s="248"/>
      <c r="J271" s="25">
        <f t="shared" si="24"/>
        <v>105</v>
      </c>
      <c r="K271" s="32"/>
      <c r="L271" s="33">
        <f t="shared" si="21"/>
        <v>0</v>
      </c>
      <c r="M271" s="37"/>
      <c r="N271" s="40"/>
    </row>
    <row r="272" spans="1:15" ht="15.75">
      <c r="A272" s="136">
        <f t="shared" si="22"/>
        <v>30</v>
      </c>
      <c r="B272" s="19" t="s">
        <v>849</v>
      </c>
      <c r="C272" s="19" t="s">
        <v>1029</v>
      </c>
      <c r="D272" s="19">
        <v>101319</v>
      </c>
      <c r="E272" s="302" t="s">
        <v>113</v>
      </c>
      <c r="F272" s="14">
        <v>52.5</v>
      </c>
      <c r="G272" s="74">
        <v>50</v>
      </c>
      <c r="H272" s="75">
        <v>2.5</v>
      </c>
      <c r="I272" s="14"/>
      <c r="J272" s="25">
        <f t="shared" si="24"/>
        <v>52.5</v>
      </c>
      <c r="K272" s="32"/>
      <c r="L272" s="33">
        <f t="shared" si="21"/>
        <v>0</v>
      </c>
      <c r="M272" s="215"/>
      <c r="N272" s="6"/>
    </row>
    <row r="273" spans="1:14" ht="15.75">
      <c r="A273" s="136">
        <f t="shared" si="22"/>
        <v>31</v>
      </c>
      <c r="B273" s="19" t="s">
        <v>854</v>
      </c>
      <c r="C273" s="19" t="s">
        <v>1029</v>
      </c>
      <c r="D273" s="19">
        <v>101725</v>
      </c>
      <c r="E273" s="305" t="s">
        <v>855</v>
      </c>
      <c r="F273" s="14">
        <v>105</v>
      </c>
      <c r="G273" s="20">
        <v>100</v>
      </c>
      <c r="H273" s="21">
        <v>5</v>
      </c>
      <c r="I273" s="14"/>
      <c r="J273" s="25">
        <f t="shared" si="24"/>
        <v>105</v>
      </c>
      <c r="K273" s="32"/>
      <c r="L273" s="33">
        <f t="shared" si="21"/>
        <v>0</v>
      </c>
      <c r="M273" s="215"/>
      <c r="N273" s="6"/>
    </row>
    <row r="274" spans="1:14" ht="15.75">
      <c r="A274" s="136">
        <f t="shared" si="22"/>
        <v>32</v>
      </c>
      <c r="B274" s="19" t="s">
        <v>856</v>
      </c>
      <c r="C274" s="19" t="s">
        <v>1029</v>
      </c>
      <c r="D274" s="19">
        <v>101723</v>
      </c>
      <c r="E274" s="305" t="s">
        <v>857</v>
      </c>
      <c r="F274" s="14">
        <v>140.35</v>
      </c>
      <c r="G274" s="20">
        <v>100</v>
      </c>
      <c r="H274" s="21">
        <v>5</v>
      </c>
      <c r="I274" s="14">
        <v>35.35</v>
      </c>
      <c r="J274" s="25">
        <f t="shared" si="24"/>
        <v>140.35</v>
      </c>
      <c r="K274" s="32"/>
      <c r="L274" s="33">
        <f t="shared" si="21"/>
        <v>0</v>
      </c>
      <c r="M274" s="215"/>
      <c r="N274" s="40"/>
    </row>
    <row r="275" spans="1:14" ht="15.75">
      <c r="A275" s="136">
        <f t="shared" si="22"/>
        <v>33</v>
      </c>
      <c r="B275" s="19" t="s">
        <v>47</v>
      </c>
      <c r="C275" s="19" t="s">
        <v>1029</v>
      </c>
      <c r="D275" s="19">
        <v>101883</v>
      </c>
      <c r="E275" s="302" t="s">
        <v>859</v>
      </c>
      <c r="F275" s="14">
        <v>52.5</v>
      </c>
      <c r="G275" s="53">
        <v>50</v>
      </c>
      <c r="H275" s="54">
        <v>2.5</v>
      </c>
      <c r="I275" s="14"/>
      <c r="J275" s="25">
        <f t="shared" si="24"/>
        <v>52.5</v>
      </c>
      <c r="K275" s="32"/>
      <c r="L275" s="33">
        <f t="shared" si="21"/>
        <v>0</v>
      </c>
      <c r="M275" s="37"/>
      <c r="N275" s="6"/>
    </row>
    <row r="276" spans="1:14" ht="15.75">
      <c r="A276" s="136">
        <f t="shared" si="22"/>
        <v>34</v>
      </c>
      <c r="B276" s="19" t="s">
        <v>866</v>
      </c>
      <c r="C276" s="19" t="s">
        <v>1029</v>
      </c>
      <c r="D276" s="19">
        <v>101763</v>
      </c>
      <c r="E276" s="302" t="s">
        <v>867</v>
      </c>
      <c r="F276" s="14">
        <v>405</v>
      </c>
      <c r="G276" s="53">
        <v>100</v>
      </c>
      <c r="H276" s="54">
        <v>5</v>
      </c>
      <c r="I276" s="14">
        <v>300</v>
      </c>
      <c r="J276" s="25">
        <f t="shared" si="24"/>
        <v>405</v>
      </c>
      <c r="K276" s="32"/>
      <c r="L276" s="33">
        <f t="shared" si="21"/>
        <v>0</v>
      </c>
      <c r="M276" s="215"/>
      <c r="N276" s="6"/>
    </row>
    <row r="277" spans="1:14" ht="15.75">
      <c r="A277" s="136">
        <f t="shared" si="22"/>
        <v>35</v>
      </c>
      <c r="B277" s="19" t="s">
        <v>868</v>
      </c>
      <c r="C277" s="19" t="s">
        <v>1029</v>
      </c>
      <c r="D277" s="19">
        <v>101843</v>
      </c>
      <c r="E277" s="302" t="s">
        <v>869</v>
      </c>
      <c r="F277" s="14">
        <v>52.5</v>
      </c>
      <c r="G277" s="53">
        <v>50</v>
      </c>
      <c r="H277" s="54">
        <v>2.5</v>
      </c>
      <c r="I277" s="14"/>
      <c r="J277" s="25">
        <f t="shared" si="24"/>
        <v>52.5</v>
      </c>
      <c r="K277" s="32"/>
      <c r="L277" s="33">
        <f t="shared" si="21"/>
        <v>0</v>
      </c>
      <c r="M277" s="37"/>
      <c r="N277" s="40"/>
    </row>
    <row r="278" spans="1:14" ht="15.75">
      <c r="A278" s="136">
        <f t="shared" si="22"/>
        <v>36</v>
      </c>
      <c r="B278" s="19" t="s">
        <v>870</v>
      </c>
      <c r="C278" s="19" t="s">
        <v>1029</v>
      </c>
      <c r="D278" s="19">
        <v>101771</v>
      </c>
      <c r="E278" s="302" t="s">
        <v>871</v>
      </c>
      <c r="F278" s="14">
        <v>105</v>
      </c>
      <c r="G278" s="53">
        <v>100</v>
      </c>
      <c r="H278" s="54">
        <v>5</v>
      </c>
      <c r="I278" s="14"/>
      <c r="J278" s="25">
        <f t="shared" si="24"/>
        <v>105</v>
      </c>
      <c r="K278" s="32"/>
      <c r="L278" s="33">
        <f t="shared" si="21"/>
        <v>0</v>
      </c>
      <c r="M278" s="215"/>
      <c r="N278" s="40"/>
    </row>
    <row r="279" spans="1:14" ht="15.75">
      <c r="A279" s="136">
        <f t="shared" si="22"/>
        <v>37</v>
      </c>
      <c r="B279" s="19" t="s">
        <v>872</v>
      </c>
      <c r="C279" s="19" t="s">
        <v>1029</v>
      </c>
      <c r="D279" s="19">
        <v>101772</v>
      </c>
      <c r="E279" s="302" t="s">
        <v>873</v>
      </c>
      <c r="F279" s="14">
        <v>105</v>
      </c>
      <c r="G279" s="53">
        <v>100</v>
      </c>
      <c r="H279" s="54">
        <v>5</v>
      </c>
      <c r="I279" s="14"/>
      <c r="J279" s="25">
        <f t="shared" si="24"/>
        <v>105</v>
      </c>
      <c r="K279" s="32"/>
      <c r="L279" s="33">
        <f t="shared" si="21"/>
        <v>0</v>
      </c>
      <c r="M279" s="215"/>
      <c r="N279" s="58"/>
    </row>
    <row r="280" spans="1:14" ht="15.75">
      <c r="A280" s="136">
        <f t="shared" si="22"/>
        <v>38</v>
      </c>
      <c r="B280" s="19" t="s">
        <v>874</v>
      </c>
      <c r="C280" s="19" t="s">
        <v>1029</v>
      </c>
      <c r="D280" s="19">
        <v>101817</v>
      </c>
      <c r="E280" s="304" t="s">
        <v>875</v>
      </c>
      <c r="F280" s="14">
        <v>52.5</v>
      </c>
      <c r="G280" s="53">
        <v>50</v>
      </c>
      <c r="H280" s="54">
        <v>2.5</v>
      </c>
      <c r="I280" s="14"/>
      <c r="J280" s="25">
        <f t="shared" si="24"/>
        <v>52.5</v>
      </c>
      <c r="K280" s="32"/>
      <c r="L280" s="33">
        <f t="shared" si="21"/>
        <v>0</v>
      </c>
      <c r="M280" s="37"/>
      <c r="N280" s="59" t="s">
        <v>525</v>
      </c>
    </row>
    <row r="281" spans="1:14" ht="15.75">
      <c r="A281" s="136">
        <f t="shared" si="22"/>
        <v>39</v>
      </c>
      <c r="B281" s="132" t="s">
        <v>708</v>
      </c>
      <c r="C281" s="197" t="s">
        <v>1029</v>
      </c>
      <c r="D281" s="197">
        <v>105098</v>
      </c>
      <c r="E281" s="302" t="s">
        <v>709</v>
      </c>
      <c r="F281" s="14">
        <v>52.5</v>
      </c>
      <c r="G281" s="238">
        <v>50</v>
      </c>
      <c r="H281" s="131">
        <v>2.5</v>
      </c>
      <c r="I281" s="14"/>
      <c r="J281" s="18">
        <f>SUM(G281+H281+I281)</f>
        <v>52.5</v>
      </c>
      <c r="K281" s="32"/>
      <c r="L281" s="33">
        <f>+(F281-((SUM(J281+K281))))</f>
        <v>0</v>
      </c>
      <c r="M281" s="215"/>
      <c r="N281" s="60" t="s">
        <v>79</v>
      </c>
    </row>
    <row r="282" spans="1:14" ht="15.75">
      <c r="A282" s="136">
        <f t="shared" si="22"/>
        <v>40</v>
      </c>
      <c r="B282" s="19" t="s">
        <v>876</v>
      </c>
      <c r="C282" s="19" t="s">
        <v>1029</v>
      </c>
      <c r="D282" s="19">
        <v>101816</v>
      </c>
      <c r="E282" s="302" t="s">
        <v>877</v>
      </c>
      <c r="F282" s="14">
        <v>105</v>
      </c>
      <c r="G282" s="74">
        <v>100</v>
      </c>
      <c r="H282" s="54">
        <v>5</v>
      </c>
      <c r="I282" s="14"/>
      <c r="J282" s="25">
        <f t="shared" si="24"/>
        <v>105</v>
      </c>
      <c r="K282" s="32"/>
      <c r="L282" s="33">
        <f t="shared" si="21"/>
        <v>0</v>
      </c>
      <c r="M282" s="215"/>
      <c r="N282" s="40"/>
    </row>
    <row r="283" spans="1:14" ht="15.75">
      <c r="A283" s="136">
        <f t="shared" si="22"/>
        <v>41</v>
      </c>
      <c r="B283" s="19" t="s">
        <v>882</v>
      </c>
      <c r="C283" s="19" t="s">
        <v>1029</v>
      </c>
      <c r="D283" s="19">
        <v>101829</v>
      </c>
      <c r="E283" s="302" t="s">
        <v>1032</v>
      </c>
      <c r="F283" s="14">
        <v>52.5</v>
      </c>
      <c r="G283" s="74">
        <v>50</v>
      </c>
      <c r="H283" s="54">
        <v>2.5</v>
      </c>
      <c r="I283" s="14"/>
      <c r="J283" s="25">
        <f t="shared" si="24"/>
        <v>52.5</v>
      </c>
      <c r="K283" s="32"/>
      <c r="L283" s="33">
        <f t="shared" si="21"/>
        <v>0</v>
      </c>
      <c r="M283" s="215"/>
      <c r="N283" s="40"/>
    </row>
    <row r="284" spans="1:14" ht="15.75">
      <c r="A284" s="136">
        <f t="shared" si="22"/>
        <v>42</v>
      </c>
      <c r="B284" s="116" t="s">
        <v>884</v>
      </c>
      <c r="C284" s="19"/>
      <c r="D284" s="19"/>
      <c r="E284" s="302" t="s">
        <v>885</v>
      </c>
      <c r="F284" s="14">
        <v>313.95</v>
      </c>
      <c r="G284" s="74">
        <v>299</v>
      </c>
      <c r="H284" s="54">
        <v>14.95</v>
      </c>
      <c r="I284" s="14"/>
      <c r="J284" s="25">
        <f t="shared" si="24"/>
        <v>313.95</v>
      </c>
      <c r="K284" s="32"/>
      <c r="L284" s="33">
        <f t="shared" si="21"/>
        <v>0</v>
      </c>
      <c r="M284" s="215"/>
      <c r="N284" s="40"/>
    </row>
    <row r="285" spans="1:14" ht="15.75">
      <c r="A285" s="136">
        <f t="shared" si="22"/>
        <v>43</v>
      </c>
      <c r="B285" s="116" t="s">
        <v>886</v>
      </c>
      <c r="C285" s="19"/>
      <c r="D285" s="19"/>
      <c r="E285" s="302" t="s">
        <v>887</v>
      </c>
      <c r="F285" s="14">
        <v>210</v>
      </c>
      <c r="G285" s="74">
        <v>200</v>
      </c>
      <c r="H285" s="54">
        <v>10</v>
      </c>
      <c r="I285" s="14"/>
      <c r="J285" s="25">
        <f t="shared" si="24"/>
        <v>210</v>
      </c>
      <c r="K285" s="179"/>
      <c r="L285" s="33">
        <f t="shared" si="21"/>
        <v>0</v>
      </c>
      <c r="M285" s="217"/>
      <c r="N285" s="40"/>
    </row>
    <row r="286" spans="1:14" ht="15.75">
      <c r="A286" s="136">
        <f t="shared" si="22"/>
        <v>44</v>
      </c>
      <c r="B286" s="116" t="s">
        <v>892</v>
      </c>
      <c r="C286" s="19" t="s">
        <v>1029</v>
      </c>
      <c r="D286" s="19">
        <v>101856</v>
      </c>
      <c r="E286" s="302" t="s">
        <v>893</v>
      </c>
      <c r="F286" s="14">
        <v>52.5</v>
      </c>
      <c r="G286" s="74">
        <v>50</v>
      </c>
      <c r="H286" s="54">
        <v>2.5</v>
      </c>
      <c r="I286" s="14"/>
      <c r="J286" s="25">
        <f t="shared" si="24"/>
        <v>52.5</v>
      </c>
      <c r="K286" s="32"/>
      <c r="L286" s="33">
        <f t="shared" si="21"/>
        <v>0</v>
      </c>
      <c r="M286" s="215"/>
      <c r="N286" s="195"/>
    </row>
    <row r="287" spans="1:14" ht="15.75">
      <c r="A287" s="136">
        <f t="shared" si="22"/>
        <v>45</v>
      </c>
      <c r="B287" s="116" t="s">
        <v>894</v>
      </c>
      <c r="C287" s="19" t="s">
        <v>1029</v>
      </c>
      <c r="D287" s="19">
        <v>101876</v>
      </c>
      <c r="E287" s="302" t="s">
        <v>895</v>
      </c>
      <c r="F287" s="14">
        <v>52.5</v>
      </c>
      <c r="G287" s="74">
        <v>50</v>
      </c>
      <c r="H287" s="54">
        <v>2.5</v>
      </c>
      <c r="I287" s="14"/>
      <c r="J287" s="25">
        <f t="shared" si="24"/>
        <v>52.5</v>
      </c>
      <c r="K287" s="32"/>
      <c r="L287" s="33">
        <f t="shared" si="21"/>
        <v>0</v>
      </c>
      <c r="M287" s="215"/>
      <c r="N287" s="194"/>
    </row>
    <row r="288" spans="1:14" ht="15.75">
      <c r="A288" s="136">
        <f t="shared" si="22"/>
        <v>46</v>
      </c>
      <c r="B288" s="116" t="s">
        <v>896</v>
      </c>
      <c r="C288" s="19" t="s">
        <v>1029</v>
      </c>
      <c r="D288" s="19">
        <v>101877</v>
      </c>
      <c r="E288" s="302" t="s">
        <v>1033</v>
      </c>
      <c r="F288" s="14">
        <v>52.5</v>
      </c>
      <c r="G288" s="74">
        <v>50</v>
      </c>
      <c r="H288" s="54">
        <v>2.5</v>
      </c>
      <c r="I288" s="14"/>
      <c r="J288" s="25">
        <f t="shared" si="24"/>
        <v>52.5</v>
      </c>
      <c r="K288" s="32"/>
      <c r="L288" s="33">
        <f t="shared" si="21"/>
        <v>0</v>
      </c>
      <c r="M288" s="215"/>
      <c r="N288" s="6" t="s">
        <v>539</v>
      </c>
    </row>
    <row r="289" spans="1:14" ht="15.75">
      <c r="A289" s="136">
        <f t="shared" si="22"/>
        <v>47</v>
      </c>
      <c r="B289" s="19" t="s">
        <v>906</v>
      </c>
      <c r="C289" s="19" t="s">
        <v>1029</v>
      </c>
      <c r="D289" s="19">
        <v>101898</v>
      </c>
      <c r="E289" s="302" t="s">
        <v>907</v>
      </c>
      <c r="F289" s="14">
        <v>84</v>
      </c>
      <c r="G289" s="74">
        <v>50</v>
      </c>
      <c r="H289" s="54">
        <v>2.5</v>
      </c>
      <c r="I289" s="14"/>
      <c r="J289" s="25">
        <f t="shared" si="24"/>
        <v>52.5</v>
      </c>
      <c r="K289" s="162">
        <v>31.5</v>
      </c>
      <c r="L289" s="33">
        <f>+(F289-((SUM(J289+K289))))</f>
        <v>0</v>
      </c>
      <c r="M289" s="37" t="s">
        <v>947</v>
      </c>
      <c r="N289" s="6" t="s">
        <v>542</v>
      </c>
    </row>
    <row r="290" spans="1:14" ht="15.75">
      <c r="A290" s="136">
        <f t="shared" si="22"/>
        <v>48</v>
      </c>
      <c r="B290" s="19" t="s">
        <v>910</v>
      </c>
      <c r="C290" s="19" t="s">
        <v>1029</v>
      </c>
      <c r="D290" s="19">
        <v>101892</v>
      </c>
      <c r="E290" s="302" t="s">
        <v>911</v>
      </c>
      <c r="F290" s="14">
        <v>52.5</v>
      </c>
      <c r="G290" s="74">
        <v>50</v>
      </c>
      <c r="H290" s="54">
        <v>2.5</v>
      </c>
      <c r="I290" s="14"/>
      <c r="J290" s="25">
        <f t="shared" si="24"/>
        <v>52.5</v>
      </c>
      <c r="K290" s="32"/>
      <c r="L290" s="33">
        <f t="shared" ref="L290:L292" si="25">+(F290-((SUM(J290+K290))))</f>
        <v>0</v>
      </c>
      <c r="M290" s="215"/>
      <c r="N290" s="40"/>
    </row>
    <row r="291" spans="1:14" ht="15.75">
      <c r="A291" s="136">
        <f t="shared" si="22"/>
        <v>49</v>
      </c>
      <c r="B291" s="19" t="s">
        <v>912</v>
      </c>
      <c r="C291" s="19" t="s">
        <v>1029</v>
      </c>
      <c r="D291" s="19">
        <v>101889</v>
      </c>
      <c r="E291" s="302" t="s">
        <v>913</v>
      </c>
      <c r="F291" s="14">
        <v>52.5</v>
      </c>
      <c r="G291" s="74">
        <v>50</v>
      </c>
      <c r="H291" s="54">
        <v>2.5</v>
      </c>
      <c r="I291" s="14"/>
      <c r="J291" s="25">
        <f t="shared" si="24"/>
        <v>52.5</v>
      </c>
      <c r="K291" s="32"/>
      <c r="L291" s="33">
        <f t="shared" si="25"/>
        <v>0</v>
      </c>
      <c r="M291" s="215"/>
      <c r="N291" s="40"/>
    </row>
    <row r="292" spans="1:14" ht="15.75">
      <c r="A292" s="136">
        <f t="shared" si="22"/>
        <v>50</v>
      </c>
      <c r="B292" s="19" t="s">
        <v>916</v>
      </c>
      <c r="C292" s="19" t="s">
        <v>1029</v>
      </c>
      <c r="D292" s="19">
        <v>101884</v>
      </c>
      <c r="E292" s="302" t="s">
        <v>917</v>
      </c>
      <c r="F292" s="14">
        <v>52.5</v>
      </c>
      <c r="G292" s="74">
        <v>50</v>
      </c>
      <c r="H292" s="54">
        <v>2.5</v>
      </c>
      <c r="I292" s="14"/>
      <c r="J292" s="25">
        <f>SUM(G292+H292+I292)</f>
        <v>52.5</v>
      </c>
      <c r="K292" s="32"/>
      <c r="L292" s="33">
        <f t="shared" si="25"/>
        <v>0</v>
      </c>
      <c r="M292" s="215"/>
      <c r="N292" s="40"/>
    </row>
    <row r="293" spans="1:14" ht="15.75">
      <c r="A293" s="136">
        <f t="shared" si="22"/>
        <v>51</v>
      </c>
      <c r="B293" s="132" t="s">
        <v>631</v>
      </c>
      <c r="C293" s="197" t="s">
        <v>1029</v>
      </c>
      <c r="D293" s="197">
        <v>105115</v>
      </c>
      <c r="E293" s="302" t="s">
        <v>632</v>
      </c>
      <c r="F293" s="14">
        <v>52.5</v>
      </c>
      <c r="G293" s="238">
        <v>50</v>
      </c>
      <c r="H293" s="131">
        <v>2.5</v>
      </c>
      <c r="I293" s="14"/>
      <c r="J293" s="18">
        <f>SUM(G293+H293+I293)</f>
        <v>52.5</v>
      </c>
      <c r="K293" s="32"/>
      <c r="L293" s="33">
        <f>+(F293-((SUM(J293+K293))))</f>
        <v>0</v>
      </c>
      <c r="M293" s="215"/>
      <c r="N293" s="40"/>
    </row>
    <row r="294" spans="1:14" ht="15.75">
      <c r="A294" s="136">
        <f t="shared" si="22"/>
        <v>52</v>
      </c>
      <c r="B294" s="132" t="s">
        <v>922</v>
      </c>
      <c r="C294" s="197" t="s">
        <v>1029</v>
      </c>
      <c r="D294" s="197">
        <v>105105</v>
      </c>
      <c r="E294" s="302" t="s">
        <v>1034</v>
      </c>
      <c r="F294" s="14">
        <v>52.5</v>
      </c>
      <c r="G294" s="238">
        <v>50</v>
      </c>
      <c r="H294" s="131">
        <v>2.5</v>
      </c>
      <c r="I294" s="14"/>
      <c r="J294" s="18">
        <f>SUM(G294+H294+I294)</f>
        <v>52.5</v>
      </c>
      <c r="K294" s="32"/>
      <c r="L294" s="33">
        <f>+(F294-((SUM(J294+K294))))</f>
        <v>0</v>
      </c>
      <c r="M294" s="215"/>
      <c r="N294" s="195"/>
    </row>
    <row r="295" spans="1:14" ht="15.75">
      <c r="A295" s="136">
        <f t="shared" si="22"/>
        <v>53</v>
      </c>
      <c r="B295" s="301" t="s">
        <v>1052</v>
      </c>
      <c r="C295" s="197" t="s">
        <v>1029</v>
      </c>
      <c r="D295" s="19">
        <v>101041</v>
      </c>
      <c r="E295" s="316" t="s">
        <v>1024</v>
      </c>
      <c r="F295" s="14">
        <v>16.87</v>
      </c>
      <c r="G295" s="238">
        <v>16.07</v>
      </c>
      <c r="H295" s="131">
        <v>0.8</v>
      </c>
      <c r="I295" s="14"/>
      <c r="J295" s="18">
        <f t="shared" ref="J295:J296" si="26">SUM(G295+H295+I295)</f>
        <v>16.87</v>
      </c>
      <c r="K295" s="32"/>
      <c r="L295" s="33">
        <f t="shared" ref="L295:L296" si="27">+(F295-((SUM(J295+K295))))</f>
        <v>0</v>
      </c>
      <c r="M295" s="215"/>
      <c r="N295" s="6" t="s">
        <v>557</v>
      </c>
    </row>
    <row r="296" spans="1:14" ht="15.75">
      <c r="A296" s="136">
        <f t="shared" si="22"/>
        <v>54</v>
      </c>
      <c r="B296" s="301" t="s">
        <v>1053</v>
      </c>
      <c r="C296" s="197"/>
      <c r="D296" s="197"/>
      <c r="E296" s="302" t="s">
        <v>1053</v>
      </c>
      <c r="F296" s="14">
        <v>16.87</v>
      </c>
      <c r="G296" s="238">
        <v>16.07</v>
      </c>
      <c r="H296" s="131">
        <v>0.8</v>
      </c>
      <c r="I296" s="14"/>
      <c r="J296" s="18">
        <f t="shared" si="26"/>
        <v>16.87</v>
      </c>
      <c r="K296" s="32"/>
      <c r="L296" s="33">
        <f t="shared" si="27"/>
        <v>0</v>
      </c>
      <c r="M296" s="215"/>
      <c r="N296" s="6" t="s">
        <v>559</v>
      </c>
    </row>
    <row r="297" spans="1:14" ht="16.5" thickBot="1">
      <c r="A297" s="295"/>
      <c r="B297" s="296"/>
      <c r="C297" s="297"/>
      <c r="D297" s="297"/>
      <c r="E297" s="324"/>
      <c r="F297" s="268"/>
      <c r="G297" s="298"/>
      <c r="H297" s="299"/>
      <c r="I297" s="268"/>
      <c r="J297" s="300"/>
      <c r="K297" s="82"/>
      <c r="L297" s="83"/>
      <c r="M297" s="271"/>
    </row>
    <row r="298" spans="1:14" ht="15.75">
      <c r="A298" s="142"/>
      <c r="B298" s="143"/>
      <c r="C298" s="143"/>
      <c r="D298" s="338"/>
      <c r="E298" s="325"/>
      <c r="F298" s="253">
        <f>SUM(F243:F296)</f>
        <v>6988.2</v>
      </c>
      <c r="G298" s="253">
        <f t="shared" ref="G298:K298" si="28">SUM(G243:G296)</f>
        <v>5171.1399999999994</v>
      </c>
      <c r="H298" s="253">
        <f t="shared" si="28"/>
        <v>260.42</v>
      </c>
      <c r="I298" s="253">
        <f t="shared" si="28"/>
        <v>1479.7</v>
      </c>
      <c r="J298" s="253">
        <f t="shared" si="28"/>
        <v>6911.26</v>
      </c>
      <c r="K298" s="253">
        <f t="shared" si="28"/>
        <v>76.94</v>
      </c>
      <c r="L298" s="253">
        <f>SUM(L243:L296)</f>
        <v>0</v>
      </c>
      <c r="M298" s="219"/>
    </row>
    <row r="299" spans="1:14" ht="15.75">
      <c r="A299" s="289"/>
      <c r="B299" s="290" t="s">
        <v>398</v>
      </c>
      <c r="C299" s="291"/>
      <c r="D299" s="339"/>
      <c r="E299" s="326"/>
      <c r="F299" s="293"/>
      <c r="G299" s="292"/>
      <c r="H299" s="292"/>
      <c r="I299" s="292"/>
      <c r="J299" s="292"/>
      <c r="K299" s="292"/>
      <c r="L299" s="292"/>
      <c r="M299" s="294"/>
      <c r="N299" s="6"/>
    </row>
    <row r="300" spans="1:14" ht="15.75">
      <c r="A300" s="285">
        <v>1</v>
      </c>
      <c r="B300" s="145" t="s">
        <v>924</v>
      </c>
      <c r="C300" s="145"/>
      <c r="D300" s="145">
        <v>101766</v>
      </c>
      <c r="E300" s="327" t="s">
        <v>925</v>
      </c>
      <c r="F300" s="256">
        <v>210</v>
      </c>
      <c r="G300" s="287">
        <v>200</v>
      </c>
      <c r="H300" s="288">
        <v>10</v>
      </c>
      <c r="I300" s="256"/>
      <c r="J300" s="46">
        <f t="shared" ref="J300:J305" si="29">SUM(G300+H300+I300)</f>
        <v>210</v>
      </c>
      <c r="K300" s="146"/>
      <c r="L300" s="47">
        <f t="shared" ref="L300:L305" si="30">+(F300-((SUM(J300+K300))))</f>
        <v>0</v>
      </c>
      <c r="M300" s="221"/>
      <c r="N300" s="6"/>
    </row>
    <row r="301" spans="1:14" ht="15.75">
      <c r="A301" s="11">
        <f>1+A300</f>
        <v>2</v>
      </c>
      <c r="B301" s="19" t="s">
        <v>926</v>
      </c>
      <c r="C301" s="19"/>
      <c r="D301" s="19">
        <v>101776</v>
      </c>
      <c r="E301" s="302" t="s">
        <v>927</v>
      </c>
      <c r="F301" s="14">
        <v>52.5</v>
      </c>
      <c r="G301" s="53">
        <v>50</v>
      </c>
      <c r="H301" s="54">
        <v>2.5</v>
      </c>
      <c r="I301" s="14"/>
      <c r="J301" s="18">
        <f t="shared" si="29"/>
        <v>52.5</v>
      </c>
      <c r="K301" s="32"/>
      <c r="L301" s="33">
        <f t="shared" si="30"/>
        <v>0</v>
      </c>
      <c r="M301" s="215"/>
      <c r="N301" s="6"/>
    </row>
    <row r="302" spans="1:14" ht="15.75">
      <c r="A302" s="11">
        <f t="shared" ref="A302:A310" si="31">1+A301</f>
        <v>3</v>
      </c>
      <c r="B302" s="19" t="s">
        <v>399</v>
      </c>
      <c r="C302" s="19"/>
      <c r="D302" s="19">
        <v>101514</v>
      </c>
      <c r="E302" s="302" t="s">
        <v>400</v>
      </c>
      <c r="F302" s="14">
        <v>52.5</v>
      </c>
      <c r="G302" s="74">
        <v>50</v>
      </c>
      <c r="H302" s="75">
        <v>2.5</v>
      </c>
      <c r="I302" s="14"/>
      <c r="J302" s="18">
        <f t="shared" si="29"/>
        <v>52.5</v>
      </c>
      <c r="K302" s="32"/>
      <c r="L302" s="33">
        <f t="shared" si="30"/>
        <v>0</v>
      </c>
      <c r="M302" s="37"/>
      <c r="N302" s="6"/>
    </row>
    <row r="303" spans="1:14" ht="15.75">
      <c r="A303" s="11">
        <f t="shared" si="31"/>
        <v>4</v>
      </c>
      <c r="B303" s="19" t="s">
        <v>411</v>
      </c>
      <c r="C303" s="19"/>
      <c r="D303" s="19">
        <v>101384</v>
      </c>
      <c r="E303" s="302" t="s">
        <v>412</v>
      </c>
      <c r="F303" s="14">
        <v>52.5</v>
      </c>
      <c r="G303" s="74">
        <v>50</v>
      </c>
      <c r="H303" s="75">
        <v>2.5</v>
      </c>
      <c r="I303" s="14"/>
      <c r="J303" s="18">
        <f t="shared" si="29"/>
        <v>52.5</v>
      </c>
      <c r="K303" s="32"/>
      <c r="L303" s="33">
        <f t="shared" si="30"/>
        <v>0</v>
      </c>
      <c r="M303" s="215"/>
      <c r="N303" s="6"/>
    </row>
    <row r="304" spans="1:14" ht="15.75">
      <c r="A304" s="11">
        <f t="shared" si="31"/>
        <v>5</v>
      </c>
      <c r="B304" s="19" t="s">
        <v>931</v>
      </c>
      <c r="C304" s="19"/>
      <c r="D304" s="19">
        <v>101350</v>
      </c>
      <c r="E304" s="302" t="s">
        <v>932</v>
      </c>
      <c r="F304" s="14">
        <v>52.5</v>
      </c>
      <c r="G304" s="20">
        <v>50</v>
      </c>
      <c r="H304" s="21">
        <v>2.5</v>
      </c>
      <c r="I304" s="14"/>
      <c r="J304" s="18">
        <f t="shared" si="29"/>
        <v>52.5</v>
      </c>
      <c r="K304" s="32"/>
      <c r="L304" s="33">
        <f t="shared" si="30"/>
        <v>0</v>
      </c>
      <c r="M304" s="215"/>
      <c r="N304" s="6"/>
    </row>
    <row r="305" spans="1:14" ht="15.75">
      <c r="A305" s="11">
        <f t="shared" si="31"/>
        <v>6</v>
      </c>
      <c r="B305" s="19" t="s">
        <v>933</v>
      </c>
      <c r="C305" s="19"/>
      <c r="D305" s="19">
        <v>101775</v>
      </c>
      <c r="E305" s="302" t="s">
        <v>934</v>
      </c>
      <c r="F305" s="14">
        <v>52.5</v>
      </c>
      <c r="G305" s="53">
        <v>50</v>
      </c>
      <c r="H305" s="54">
        <v>2.5</v>
      </c>
      <c r="I305" s="14"/>
      <c r="J305" s="18">
        <f t="shared" si="29"/>
        <v>52.5</v>
      </c>
      <c r="K305" s="32"/>
      <c r="L305" s="33">
        <f t="shared" si="30"/>
        <v>0</v>
      </c>
      <c r="M305" s="215"/>
      <c r="N305" s="6"/>
    </row>
    <row r="306" spans="1:14" ht="15.75">
      <c r="A306" s="11">
        <f t="shared" si="31"/>
        <v>7</v>
      </c>
      <c r="B306" s="19" t="s">
        <v>937</v>
      </c>
      <c r="C306" s="19"/>
      <c r="D306" s="19">
        <v>101764</v>
      </c>
      <c r="E306" s="302" t="s">
        <v>938</v>
      </c>
      <c r="F306" s="14">
        <v>105</v>
      </c>
      <c r="G306" s="53">
        <v>100</v>
      </c>
      <c r="H306" s="54">
        <v>5</v>
      </c>
      <c r="I306" s="14"/>
      <c r="J306" s="18">
        <f>SUM(G306+H306+I306)</f>
        <v>105</v>
      </c>
      <c r="K306" s="32"/>
      <c r="L306" s="33">
        <f>+(F306-((SUM(J306+K306))))</f>
        <v>0</v>
      </c>
      <c r="M306" s="215"/>
      <c r="N306" s="6"/>
    </row>
    <row r="307" spans="1:14" ht="15.75">
      <c r="A307" s="11">
        <f t="shared" si="31"/>
        <v>8</v>
      </c>
      <c r="B307" s="19" t="s">
        <v>738</v>
      </c>
      <c r="C307" s="19"/>
      <c r="D307" s="19">
        <v>101773</v>
      </c>
      <c r="E307" s="305" t="s">
        <v>739</v>
      </c>
      <c r="F307" s="14">
        <v>52.5</v>
      </c>
      <c r="G307" s="74">
        <v>50</v>
      </c>
      <c r="H307" s="75">
        <v>2.5</v>
      </c>
      <c r="I307" s="14"/>
      <c r="J307" s="18">
        <f t="shared" ref="J307:J308" si="32">SUM(G307+H307+I307)</f>
        <v>52.5</v>
      </c>
      <c r="K307" s="32"/>
      <c r="L307" s="36">
        <f>+(F307-((SUM(J307+K307))))</f>
        <v>0</v>
      </c>
      <c r="M307" s="215"/>
      <c r="N307" s="6"/>
    </row>
    <row r="308" spans="1:14" ht="15.75">
      <c r="A308" s="11">
        <f t="shared" si="31"/>
        <v>9</v>
      </c>
      <c r="B308" s="19" t="s">
        <v>914</v>
      </c>
      <c r="C308" s="19"/>
      <c r="D308" s="19">
        <v>101329</v>
      </c>
      <c r="E308" s="302" t="s">
        <v>915</v>
      </c>
      <c r="F308" s="14">
        <v>52.5</v>
      </c>
      <c r="G308" s="74">
        <v>50</v>
      </c>
      <c r="H308" s="54">
        <v>2.5</v>
      </c>
      <c r="I308" s="14"/>
      <c r="J308" s="18">
        <f t="shared" si="32"/>
        <v>52.5</v>
      </c>
      <c r="K308" s="32"/>
      <c r="L308" s="33">
        <f>+(F308-((SUM(J308+K308))))</f>
        <v>0</v>
      </c>
      <c r="M308" s="215"/>
      <c r="N308" s="6"/>
    </row>
    <row r="309" spans="1:14" ht="15.75">
      <c r="A309" s="11">
        <f t="shared" si="31"/>
        <v>10</v>
      </c>
      <c r="B309" s="132" t="s">
        <v>706</v>
      </c>
      <c r="C309" s="197"/>
      <c r="D309" s="197">
        <v>105067</v>
      </c>
      <c r="E309" s="302" t="s">
        <v>1035</v>
      </c>
      <c r="F309" s="14">
        <v>52.5</v>
      </c>
      <c r="G309" s="238">
        <v>50</v>
      </c>
      <c r="H309" s="131">
        <v>2.5</v>
      </c>
      <c r="I309" s="14"/>
      <c r="J309" s="18">
        <f>SUM(G309+H309+I309)</f>
        <v>52.5</v>
      </c>
      <c r="K309" s="32"/>
      <c r="L309" s="33">
        <f>+(F309-((SUM(J309+K309))))</f>
        <v>0</v>
      </c>
      <c r="M309" s="215"/>
      <c r="N309" s="6"/>
    </row>
    <row r="310" spans="1:14" ht="15.75">
      <c r="A310" s="11">
        <f t="shared" si="31"/>
        <v>11</v>
      </c>
      <c r="B310" s="19" t="s">
        <v>935</v>
      </c>
      <c r="C310" s="19"/>
      <c r="D310" s="19">
        <v>101328</v>
      </c>
      <c r="E310" s="302" t="s">
        <v>936</v>
      </c>
      <c r="F310" s="14">
        <v>52.5</v>
      </c>
      <c r="G310" s="20">
        <v>50</v>
      </c>
      <c r="H310" s="21">
        <v>2.5</v>
      </c>
      <c r="I310" s="14"/>
      <c r="J310" s="18">
        <f>SUM(G310+H310+I310)</f>
        <v>52.5</v>
      </c>
      <c r="K310" s="82"/>
      <c r="L310" s="83">
        <f>+(F310-((SUM(J310+K310))))</f>
        <v>0</v>
      </c>
      <c r="M310" s="37"/>
      <c r="N310" s="6"/>
    </row>
    <row r="311" spans="1:14" ht="21">
      <c r="A311" s="205"/>
      <c r="B311" s="206"/>
      <c r="C311" s="207"/>
      <c r="D311" s="340"/>
      <c r="E311" s="328" t="s">
        <v>474</v>
      </c>
      <c r="F311" s="263">
        <f t="shared" ref="F311:L311" si="33">SUM(F240,F298,F300:F310)</f>
        <v>37226.249999999993</v>
      </c>
      <c r="G311" s="263">
        <f t="shared" si="33"/>
        <v>30674.21</v>
      </c>
      <c r="H311" s="263">
        <f t="shared" si="33"/>
        <v>1533.0800000000002</v>
      </c>
      <c r="I311" s="263">
        <f t="shared" si="33"/>
        <v>4855.0200000000004</v>
      </c>
      <c r="J311" s="263">
        <f t="shared" si="33"/>
        <v>37062.31</v>
      </c>
      <c r="K311" s="263">
        <f t="shared" si="33"/>
        <v>163.94</v>
      </c>
      <c r="L311" s="263">
        <f t="shared" si="33"/>
        <v>2.8421709430404007E-14</v>
      </c>
      <c r="M311" s="222"/>
      <c r="N311" s="6"/>
    </row>
    <row r="312" spans="1:14" ht="15.75">
      <c r="A312" s="7"/>
      <c r="B312" s="7"/>
      <c r="C312" s="8"/>
      <c r="D312" s="8"/>
      <c r="E312" s="129"/>
      <c r="F312" s="258"/>
      <c r="G312" s="4"/>
      <c r="H312" s="4"/>
      <c r="I312" s="258"/>
      <c r="J312" s="4"/>
      <c r="K312" s="4"/>
      <c r="L312" s="9"/>
      <c r="M312" s="223"/>
      <c r="N312" s="6"/>
    </row>
    <row r="313" spans="1:14" ht="15.75">
      <c r="A313" s="7"/>
      <c r="B313" s="7"/>
      <c r="C313" s="8"/>
      <c r="D313" s="8"/>
      <c r="E313" s="129"/>
      <c r="F313" s="258"/>
      <c r="G313" s="4"/>
      <c r="H313" s="4"/>
      <c r="I313" s="258"/>
      <c r="J313" s="4"/>
      <c r="K313" s="4"/>
      <c r="L313" s="9"/>
      <c r="M313" s="223"/>
      <c r="N313" s="6"/>
    </row>
    <row r="314" spans="1:14" ht="15.75">
      <c r="A314" s="7"/>
      <c r="B314" s="7"/>
      <c r="C314" s="8"/>
      <c r="D314" s="8"/>
      <c r="E314" s="128"/>
      <c r="F314" s="258"/>
      <c r="G314" s="81"/>
      <c r="H314" s="81"/>
      <c r="I314" s="258"/>
      <c r="J314" s="4"/>
      <c r="K314" s="4"/>
      <c r="L314" s="9"/>
      <c r="M314" s="223"/>
      <c r="N314" s="5"/>
    </row>
  </sheetData>
  <mergeCells count="2">
    <mergeCell ref="A2:L2"/>
    <mergeCell ref="M3:M4"/>
  </mergeCells>
  <conditionalFormatting sqref="B215:B217">
    <cfRule type="duplicateValues" dxfId="125" priority="9"/>
  </conditionalFormatting>
  <conditionalFormatting sqref="B218:B220">
    <cfRule type="duplicateValues" dxfId="124" priority="7"/>
  </conditionalFormatting>
  <conditionalFormatting sqref="B221:B222">
    <cfRule type="duplicateValues" dxfId="123" priority="11"/>
  </conditionalFormatting>
  <conditionalFormatting sqref="B223:B236">
    <cfRule type="duplicateValues" dxfId="122" priority="13"/>
  </conditionalFormatting>
  <conditionalFormatting sqref="B295">
    <cfRule type="duplicateValues" dxfId="121" priority="3"/>
  </conditionalFormatting>
  <conditionalFormatting sqref="B296 B237:B238">
    <cfRule type="duplicateValues" dxfId="120" priority="2"/>
  </conditionalFormatting>
  <conditionalFormatting sqref="B297:B1048576 B239:B294 B1:B214">
    <cfRule type="duplicateValues" dxfId="119" priority="15"/>
  </conditionalFormatting>
  <conditionalFormatting sqref="D95:D96">
    <cfRule type="duplicateValues" dxfId="118" priority="19"/>
    <cfRule type="duplicateValues" dxfId="117" priority="20"/>
    <cfRule type="duplicateValues" dxfId="116" priority="21"/>
    <cfRule type="duplicateValues" dxfId="115" priority="22"/>
  </conditionalFormatting>
  <conditionalFormatting sqref="E81">
    <cfRule type="duplicateValues" dxfId="114" priority="4"/>
  </conditionalFormatting>
  <conditionalFormatting sqref="E90">
    <cfRule type="duplicateValues" dxfId="113" priority="17"/>
  </conditionalFormatting>
  <conditionalFormatting sqref="E103">
    <cfRule type="duplicateValues" dxfId="112" priority="5"/>
  </conditionalFormatting>
  <conditionalFormatting sqref="E215:E217">
    <cfRule type="duplicateValues" dxfId="111" priority="10"/>
  </conditionalFormatting>
  <conditionalFormatting sqref="E218:E220">
    <cfRule type="duplicateValues" dxfId="110" priority="8"/>
  </conditionalFormatting>
  <conditionalFormatting sqref="E221:E222">
    <cfRule type="duplicateValues" dxfId="109" priority="12"/>
  </conditionalFormatting>
  <conditionalFormatting sqref="E223:E236">
    <cfRule type="duplicateValues" dxfId="108" priority="14"/>
  </conditionalFormatting>
  <conditionalFormatting sqref="E275">
    <cfRule type="duplicateValues" dxfId="107" priority="18"/>
  </conditionalFormatting>
  <conditionalFormatting sqref="E288">
    <cfRule type="duplicateValues" dxfId="106" priority="6"/>
  </conditionalFormatting>
  <conditionalFormatting sqref="E295">
    <cfRule type="duplicateValues" dxfId="105" priority="1"/>
  </conditionalFormatting>
  <conditionalFormatting sqref="E310">
    <cfRule type="duplicateValues" dxfId="104" priority="16"/>
  </conditionalFormatting>
  <conditionalFormatting sqref="E311:E314 E85:E89 E172:E185 E168:E170 E91:E102 E276:E287 E3:E80 E187:E214 E289:E294 E104:E166 E82:E83 E237:E274 E296:E309">
    <cfRule type="duplicateValues" dxfId="103" priority="23"/>
  </conditionalFormatting>
  <pageMargins left="0.25" right="0.25" top="0.25" bottom="0.25" header="0.3" footer="0.3"/>
  <pageSetup paperSize="9" scale="54" fitToHeight="0" orientation="landscape" horizontalDpi="0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E0880-B219-4DB6-B9C8-F001E20A5D8B}">
  <dimension ref="A1:P320"/>
  <sheetViews>
    <sheetView zoomScale="85" zoomScaleNormal="85" workbookViewId="0">
      <pane xSplit="5" ySplit="2" topLeftCell="F287" activePane="bottomRight" state="frozen"/>
      <selection pane="bottomRight" activeCell="F240" sqref="F240:J240"/>
      <selection pane="bottomLeft" activeCell="A3" sqref="A3"/>
      <selection pane="topRight" activeCell="F1" sqref="F1"/>
    </sheetView>
  </sheetViews>
  <sheetFormatPr defaultRowHeight="15"/>
  <cols>
    <col min="2" max="2" width="21.125" customWidth="1"/>
    <col min="3" max="3" width="12.25" customWidth="1"/>
    <col min="4" max="4" width="11.25" style="341" customWidth="1"/>
    <col min="5" max="5" width="24.375" style="242" customWidth="1"/>
    <col min="6" max="6" width="20.625" style="273" customWidth="1"/>
    <col min="7" max="7" width="18.375" customWidth="1"/>
    <col min="8" max="8" width="18.625" customWidth="1"/>
    <col min="9" max="9" width="16.375" style="259" customWidth="1"/>
    <col min="10" max="10" width="20" customWidth="1"/>
    <col min="11" max="11" width="15.875" customWidth="1"/>
    <col min="12" max="12" width="18.875" customWidth="1"/>
    <col min="13" max="13" width="27.75" customWidth="1"/>
  </cols>
  <sheetData>
    <row r="1" spans="1:14" ht="31.5" customHeight="1">
      <c r="A1" s="272"/>
      <c r="B1" s="265"/>
      <c r="C1" s="265"/>
      <c r="D1" s="265"/>
      <c r="E1" s="303"/>
      <c r="F1" s="266"/>
      <c r="G1" s="265"/>
      <c r="H1" s="265"/>
      <c r="I1" s="265"/>
      <c r="J1" s="265"/>
      <c r="K1" s="265"/>
      <c r="L1" s="265"/>
      <c r="M1" s="214"/>
      <c r="N1" s="1"/>
    </row>
    <row r="2" spans="1:14" ht="24" thickBot="1">
      <c r="A2" s="415" t="s">
        <v>1054</v>
      </c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214"/>
      <c r="N2" s="1"/>
    </row>
    <row r="3" spans="1:14" ht="15.75" customHeight="1">
      <c r="A3" s="329" t="s">
        <v>463</v>
      </c>
      <c r="B3" s="330" t="s">
        <v>464</v>
      </c>
      <c r="C3" s="330"/>
      <c r="D3" s="330"/>
      <c r="E3" s="330" t="s">
        <v>465</v>
      </c>
      <c r="F3" s="332" t="s">
        <v>466</v>
      </c>
      <c r="G3" s="227" t="s">
        <v>467</v>
      </c>
      <c r="H3" s="227"/>
      <c r="I3" s="244"/>
      <c r="J3" s="227"/>
      <c r="K3" s="184" t="s">
        <v>468</v>
      </c>
      <c r="L3" s="260" t="s">
        <v>469</v>
      </c>
      <c r="M3" s="416" t="s">
        <v>470</v>
      </c>
      <c r="N3" s="6"/>
    </row>
    <row r="4" spans="1:14" ht="15.75">
      <c r="A4" s="165"/>
      <c r="B4" s="177"/>
      <c r="C4" s="177"/>
      <c r="D4" s="177"/>
      <c r="E4" s="177"/>
      <c r="F4" s="245"/>
      <c r="G4" s="231" t="s">
        <v>471</v>
      </c>
      <c r="H4" s="231" t="s">
        <v>472</v>
      </c>
      <c r="I4" s="245" t="s">
        <v>473</v>
      </c>
      <c r="J4" s="231" t="s">
        <v>474</v>
      </c>
      <c r="K4" s="175"/>
      <c r="L4" s="261"/>
      <c r="M4" s="417"/>
      <c r="N4" s="6"/>
    </row>
    <row r="5" spans="1:14" ht="15.75">
      <c r="A5" s="165"/>
      <c r="B5" s="177" t="s">
        <v>475</v>
      </c>
      <c r="C5" s="177"/>
      <c r="D5" s="177" t="s">
        <v>476</v>
      </c>
      <c r="E5" s="177" t="s">
        <v>477</v>
      </c>
      <c r="F5" s="246"/>
      <c r="G5" s="230"/>
      <c r="H5" s="230"/>
      <c r="I5" s="246"/>
      <c r="J5" s="230"/>
      <c r="K5" s="230"/>
      <c r="L5" s="230"/>
      <c r="M5" s="233"/>
      <c r="N5" s="6"/>
    </row>
    <row r="6" spans="1:14" ht="15.75">
      <c r="A6" s="164"/>
      <c r="B6" s="234" t="s">
        <v>478</v>
      </c>
      <c r="C6" s="234"/>
      <c r="D6" s="336"/>
      <c r="E6" s="353"/>
      <c r="F6" s="247"/>
      <c r="G6" s="236"/>
      <c r="H6" s="236"/>
      <c r="I6" s="247"/>
      <c r="J6" s="236"/>
      <c r="K6" s="236"/>
      <c r="L6" s="236"/>
      <c r="M6" s="237"/>
      <c r="N6" s="6"/>
    </row>
    <row r="7" spans="1:14" ht="15.75">
      <c r="A7" s="11">
        <v>1</v>
      </c>
      <c r="B7" s="19" t="s">
        <v>479</v>
      </c>
      <c r="C7" s="19"/>
      <c r="D7" s="19"/>
      <c r="E7" s="354" t="s">
        <v>480</v>
      </c>
      <c r="F7" s="14">
        <v>4616.22</v>
      </c>
      <c r="G7" s="74">
        <v>4355</v>
      </c>
      <c r="H7" s="75">
        <v>217.75</v>
      </c>
      <c r="I7" s="14">
        <v>43.47</v>
      </c>
      <c r="J7" s="18">
        <f t="shared" ref="J7:J70" si="0">SUM(G7+H7+I7)</f>
        <v>4616.22</v>
      </c>
      <c r="K7" s="32"/>
      <c r="L7" s="33">
        <f t="shared" ref="L7:L66" si="1">+(F7-((SUM(J7+K7))))</f>
        <v>0</v>
      </c>
      <c r="M7" s="215"/>
      <c r="N7" s="6"/>
    </row>
    <row r="8" spans="1:14" ht="15.75">
      <c r="A8" s="11">
        <f>1+A7</f>
        <v>2</v>
      </c>
      <c r="B8" s="19" t="s">
        <v>481</v>
      </c>
      <c r="C8" s="19"/>
      <c r="D8" s="19"/>
      <c r="E8" s="355" t="s">
        <v>482</v>
      </c>
      <c r="F8" s="14">
        <v>99.75</v>
      </c>
      <c r="G8" s="74">
        <v>95</v>
      </c>
      <c r="H8" s="75">
        <v>4.75</v>
      </c>
      <c r="I8" s="14"/>
      <c r="J8" s="18">
        <f t="shared" si="0"/>
        <v>99.75</v>
      </c>
      <c r="K8" s="32"/>
      <c r="L8" s="33">
        <f t="shared" si="1"/>
        <v>0</v>
      </c>
      <c r="M8" s="215"/>
      <c r="N8" s="6"/>
    </row>
    <row r="9" spans="1:14" ht="15.75">
      <c r="A9" s="11">
        <f t="shared" ref="A9:A72" si="2">1+A8</f>
        <v>3</v>
      </c>
      <c r="B9" s="19" t="s">
        <v>483</v>
      </c>
      <c r="C9" s="19"/>
      <c r="D9" s="19"/>
      <c r="E9" s="355" t="s">
        <v>483</v>
      </c>
      <c r="F9" s="14">
        <v>414.75</v>
      </c>
      <c r="G9" s="74">
        <v>395</v>
      </c>
      <c r="H9" s="75">
        <v>19.75</v>
      </c>
      <c r="I9" s="14"/>
      <c r="J9" s="18">
        <f t="shared" si="0"/>
        <v>414.75</v>
      </c>
      <c r="K9" s="32"/>
      <c r="L9" s="33">
        <f t="shared" si="1"/>
        <v>0</v>
      </c>
      <c r="M9" s="215"/>
      <c r="N9" s="6"/>
    </row>
    <row r="10" spans="1:14" ht="15.75">
      <c r="A10" s="11">
        <f t="shared" si="2"/>
        <v>4</v>
      </c>
      <c r="B10" s="19" t="s">
        <v>484</v>
      </c>
      <c r="C10" s="19"/>
      <c r="D10" s="19"/>
      <c r="E10" s="356" t="s">
        <v>484</v>
      </c>
      <c r="F10" s="14">
        <v>414.75</v>
      </c>
      <c r="G10" s="74">
        <v>395</v>
      </c>
      <c r="H10" s="75">
        <v>19.75</v>
      </c>
      <c r="I10" s="14"/>
      <c r="J10" s="18">
        <f t="shared" si="0"/>
        <v>414.75</v>
      </c>
      <c r="K10" s="32"/>
      <c r="L10" s="33">
        <f t="shared" si="1"/>
        <v>0</v>
      </c>
      <c r="M10" s="215"/>
      <c r="N10" s="6"/>
    </row>
    <row r="11" spans="1:14" ht="15.75">
      <c r="A11" s="11">
        <f t="shared" si="2"/>
        <v>5</v>
      </c>
      <c r="B11" s="19">
        <v>9202729</v>
      </c>
      <c r="C11" s="19"/>
      <c r="D11" s="19"/>
      <c r="E11" s="355" t="s">
        <v>485</v>
      </c>
      <c r="F11" s="14">
        <v>525</v>
      </c>
      <c r="G11" s="74">
        <v>500</v>
      </c>
      <c r="H11" s="75">
        <v>25</v>
      </c>
      <c r="I11" s="14"/>
      <c r="J11" s="18">
        <f t="shared" si="0"/>
        <v>525</v>
      </c>
      <c r="K11" s="32"/>
      <c r="L11" s="33">
        <f t="shared" si="1"/>
        <v>0</v>
      </c>
      <c r="M11" s="215"/>
      <c r="N11" s="6"/>
    </row>
    <row r="12" spans="1:14" ht="15.75">
      <c r="A12" s="11">
        <f t="shared" si="2"/>
        <v>6</v>
      </c>
      <c r="B12" s="19" t="s">
        <v>486</v>
      </c>
      <c r="C12" s="19"/>
      <c r="D12" s="19"/>
      <c r="E12" s="357" t="s">
        <v>132</v>
      </c>
      <c r="F12" s="14">
        <v>210</v>
      </c>
      <c r="G12" s="20">
        <v>200</v>
      </c>
      <c r="H12" s="21">
        <v>10</v>
      </c>
      <c r="I12" s="14"/>
      <c r="J12" s="18">
        <f t="shared" si="0"/>
        <v>210</v>
      </c>
      <c r="K12" s="32"/>
      <c r="L12" s="33">
        <f t="shared" si="1"/>
        <v>0</v>
      </c>
      <c r="M12" s="215"/>
      <c r="N12" s="6"/>
    </row>
    <row r="13" spans="1:14" ht="15.75">
      <c r="A13" s="11">
        <f t="shared" si="2"/>
        <v>7</v>
      </c>
      <c r="B13" s="19" t="s">
        <v>487</v>
      </c>
      <c r="C13" s="19"/>
      <c r="D13" s="19"/>
      <c r="E13" s="357" t="s">
        <v>134</v>
      </c>
      <c r="F13" s="14">
        <v>341.25</v>
      </c>
      <c r="G13" s="20">
        <v>200</v>
      </c>
      <c r="H13" s="21">
        <v>10</v>
      </c>
      <c r="I13" s="14">
        <v>131.25</v>
      </c>
      <c r="J13" s="18">
        <f t="shared" si="0"/>
        <v>341.25</v>
      </c>
      <c r="K13" s="32"/>
      <c r="L13" s="33">
        <f t="shared" si="1"/>
        <v>0</v>
      </c>
      <c r="M13" s="215"/>
      <c r="N13" s="6"/>
    </row>
    <row r="14" spans="1:14" ht="15.75">
      <c r="A14" s="11">
        <f t="shared" si="2"/>
        <v>8</v>
      </c>
      <c r="B14" s="19" t="s">
        <v>488</v>
      </c>
      <c r="C14" s="19"/>
      <c r="D14" s="19"/>
      <c r="E14" s="357" t="s">
        <v>136</v>
      </c>
      <c r="F14" s="14">
        <v>210</v>
      </c>
      <c r="G14" s="20">
        <v>200</v>
      </c>
      <c r="H14" s="21">
        <v>10</v>
      </c>
      <c r="I14" s="14"/>
      <c r="J14" s="18">
        <f t="shared" si="0"/>
        <v>210</v>
      </c>
      <c r="K14" s="32"/>
      <c r="L14" s="33">
        <f t="shared" si="1"/>
        <v>0</v>
      </c>
      <c r="M14" s="215"/>
      <c r="N14" s="6"/>
    </row>
    <row r="15" spans="1:14" ht="15.75">
      <c r="A15" s="11">
        <f t="shared" si="2"/>
        <v>9</v>
      </c>
      <c r="B15" s="19" t="s">
        <v>489</v>
      </c>
      <c r="C15" s="19"/>
      <c r="D15" s="19"/>
      <c r="E15" s="357" t="s">
        <v>138</v>
      </c>
      <c r="F15" s="14">
        <v>210</v>
      </c>
      <c r="G15" s="20">
        <v>200</v>
      </c>
      <c r="H15" s="21">
        <v>10</v>
      </c>
      <c r="I15" s="14"/>
      <c r="J15" s="18">
        <f t="shared" si="0"/>
        <v>210</v>
      </c>
      <c r="K15" s="32"/>
      <c r="L15" s="33">
        <f t="shared" si="1"/>
        <v>0</v>
      </c>
      <c r="M15" s="215"/>
      <c r="N15" s="6"/>
    </row>
    <row r="16" spans="1:14" ht="15.75">
      <c r="A16" s="11">
        <f t="shared" si="2"/>
        <v>10</v>
      </c>
      <c r="B16" s="19" t="s">
        <v>490</v>
      </c>
      <c r="C16" s="19" t="s">
        <v>942</v>
      </c>
      <c r="D16" s="19">
        <v>101074</v>
      </c>
      <c r="E16" s="358" t="s">
        <v>79</v>
      </c>
      <c r="F16" s="14">
        <v>356.61</v>
      </c>
      <c r="G16" s="74">
        <v>325</v>
      </c>
      <c r="H16" s="75">
        <v>16.25</v>
      </c>
      <c r="I16" s="14">
        <v>15.36</v>
      </c>
      <c r="J16" s="18">
        <f t="shared" si="0"/>
        <v>356.61</v>
      </c>
      <c r="K16" s="32"/>
      <c r="L16" s="33">
        <f t="shared" si="1"/>
        <v>0</v>
      </c>
      <c r="M16" s="215"/>
      <c r="N16" s="6"/>
    </row>
    <row r="17" spans="1:16" ht="15.75">
      <c r="A17" s="11">
        <f t="shared" si="2"/>
        <v>11</v>
      </c>
      <c r="B17" s="19" t="s">
        <v>492</v>
      </c>
      <c r="C17" s="19"/>
      <c r="D17" s="19"/>
      <c r="E17" s="355" t="s">
        <v>493</v>
      </c>
      <c r="F17" s="14">
        <v>140</v>
      </c>
      <c r="G17" s="74">
        <v>100</v>
      </c>
      <c r="H17" s="75">
        <v>5</v>
      </c>
      <c r="I17" s="14">
        <v>35</v>
      </c>
      <c r="J17" s="18">
        <f t="shared" si="0"/>
        <v>140</v>
      </c>
      <c r="K17" s="32"/>
      <c r="L17" s="33">
        <f t="shared" si="1"/>
        <v>0</v>
      </c>
      <c r="M17" s="216" t="s">
        <v>494</v>
      </c>
      <c r="N17" s="6"/>
    </row>
    <row r="18" spans="1:16" ht="15.75">
      <c r="A18" s="11">
        <f t="shared" si="2"/>
        <v>12</v>
      </c>
      <c r="B18" s="19" t="s">
        <v>495</v>
      </c>
      <c r="C18" s="19"/>
      <c r="D18" s="19"/>
      <c r="E18" s="355" t="s">
        <v>496</v>
      </c>
      <c r="F18" s="14">
        <v>52.5</v>
      </c>
      <c r="G18" s="74">
        <v>50</v>
      </c>
      <c r="H18" s="75">
        <v>2.5</v>
      </c>
      <c r="I18" s="14"/>
      <c r="J18" s="18">
        <f t="shared" si="0"/>
        <v>52.5</v>
      </c>
      <c r="K18" s="32"/>
      <c r="L18" s="33">
        <f t="shared" si="1"/>
        <v>0</v>
      </c>
      <c r="M18" s="215"/>
      <c r="N18" s="6"/>
    </row>
    <row r="19" spans="1:16" ht="15.75">
      <c r="A19" s="11">
        <f t="shared" si="2"/>
        <v>13</v>
      </c>
      <c r="B19" s="19" t="s">
        <v>497</v>
      </c>
      <c r="C19" s="19" t="s">
        <v>942</v>
      </c>
      <c r="D19" s="19">
        <v>101028</v>
      </c>
      <c r="E19" s="356" t="s">
        <v>498</v>
      </c>
      <c r="F19" s="14">
        <v>110.33</v>
      </c>
      <c r="G19" s="53">
        <v>100</v>
      </c>
      <c r="H19" s="54">
        <v>5.25</v>
      </c>
      <c r="I19" s="248">
        <v>5.08</v>
      </c>
      <c r="J19" s="18">
        <f t="shared" si="0"/>
        <v>110.33</v>
      </c>
      <c r="K19" s="61"/>
      <c r="L19" s="33">
        <f t="shared" si="1"/>
        <v>0</v>
      </c>
      <c r="M19" s="215"/>
      <c r="N19" s="6"/>
    </row>
    <row r="20" spans="1:16" ht="15.75">
      <c r="A20" s="11">
        <f t="shared" si="2"/>
        <v>14</v>
      </c>
      <c r="B20" s="19" t="s">
        <v>499</v>
      </c>
      <c r="C20" s="19" t="s">
        <v>942</v>
      </c>
      <c r="D20" s="19">
        <v>101396</v>
      </c>
      <c r="E20" s="356" t="s">
        <v>500</v>
      </c>
      <c r="F20" s="14">
        <v>52.5</v>
      </c>
      <c r="G20" s="74">
        <v>50</v>
      </c>
      <c r="H20" s="75">
        <v>2.5</v>
      </c>
      <c r="I20" s="14"/>
      <c r="J20" s="18">
        <f t="shared" si="0"/>
        <v>52.5</v>
      </c>
      <c r="K20" s="32"/>
      <c r="L20" s="33">
        <f t="shared" si="1"/>
        <v>0</v>
      </c>
      <c r="M20" s="215"/>
      <c r="N20" s="6"/>
    </row>
    <row r="21" spans="1:16" ht="15.75">
      <c r="A21" s="11">
        <f t="shared" si="2"/>
        <v>15</v>
      </c>
      <c r="B21" s="19" t="s">
        <v>501</v>
      </c>
      <c r="C21" s="19" t="s">
        <v>942</v>
      </c>
      <c r="D21" s="19">
        <v>101268</v>
      </c>
      <c r="E21" s="356" t="s">
        <v>93</v>
      </c>
      <c r="F21" s="14">
        <v>52.5</v>
      </c>
      <c r="G21" s="74">
        <v>50</v>
      </c>
      <c r="H21" s="75">
        <v>2.5</v>
      </c>
      <c r="I21" s="14"/>
      <c r="J21" s="18">
        <f t="shared" si="0"/>
        <v>52.5</v>
      </c>
      <c r="K21" s="32"/>
      <c r="L21" s="33">
        <f t="shared" si="1"/>
        <v>0</v>
      </c>
      <c r="M21" s="215"/>
      <c r="N21" s="6"/>
    </row>
    <row r="22" spans="1:16" ht="15.75">
      <c r="A22" s="11">
        <f t="shared" si="2"/>
        <v>16</v>
      </c>
      <c r="B22" s="19" t="s">
        <v>416</v>
      </c>
      <c r="C22" s="19" t="s">
        <v>942</v>
      </c>
      <c r="D22" s="19">
        <v>101611</v>
      </c>
      <c r="E22" s="355" t="s">
        <v>321</v>
      </c>
      <c r="F22" s="14">
        <v>52.5</v>
      </c>
      <c r="G22" s="20">
        <v>50</v>
      </c>
      <c r="H22" s="21">
        <v>2.5</v>
      </c>
      <c r="I22" s="62"/>
      <c r="J22" s="18">
        <f t="shared" si="0"/>
        <v>52.5</v>
      </c>
      <c r="K22" s="32"/>
      <c r="L22" s="33">
        <f t="shared" si="1"/>
        <v>0</v>
      </c>
      <c r="M22" s="215"/>
      <c r="N22" s="6"/>
    </row>
    <row r="23" spans="1:16" ht="15.75">
      <c r="A23" s="11">
        <f t="shared" si="2"/>
        <v>17</v>
      </c>
      <c r="B23" s="19" t="s">
        <v>502</v>
      </c>
      <c r="C23" s="19" t="s">
        <v>942</v>
      </c>
      <c r="D23" s="19">
        <v>101806</v>
      </c>
      <c r="E23" s="356" t="s">
        <v>503</v>
      </c>
      <c r="F23" s="14">
        <v>52.5</v>
      </c>
      <c r="G23" s="74">
        <v>50</v>
      </c>
      <c r="H23" s="54">
        <v>2.5</v>
      </c>
      <c r="I23" s="14"/>
      <c r="J23" s="18">
        <f t="shared" si="0"/>
        <v>52.5</v>
      </c>
      <c r="K23" s="32"/>
      <c r="L23" s="33">
        <f t="shared" si="1"/>
        <v>0</v>
      </c>
      <c r="M23" s="215"/>
      <c r="N23" s="6"/>
    </row>
    <row r="24" spans="1:16" ht="15.75">
      <c r="A24" s="11">
        <f t="shared" si="2"/>
        <v>18</v>
      </c>
      <c r="B24" s="19" t="s">
        <v>505</v>
      </c>
      <c r="C24" s="19" t="s">
        <v>942</v>
      </c>
      <c r="D24" s="19">
        <v>101849</v>
      </c>
      <c r="E24" s="356" t="s">
        <v>506</v>
      </c>
      <c r="F24" s="14">
        <v>52.5</v>
      </c>
      <c r="G24" s="20">
        <v>50</v>
      </c>
      <c r="H24" s="21">
        <v>2.5</v>
      </c>
      <c r="I24" s="248"/>
      <c r="J24" s="18">
        <f t="shared" si="0"/>
        <v>52.5</v>
      </c>
      <c r="K24" s="32"/>
      <c r="L24" s="33">
        <f t="shared" si="1"/>
        <v>0</v>
      </c>
      <c r="M24" s="215"/>
      <c r="N24" s="6"/>
    </row>
    <row r="25" spans="1:16" ht="15.75">
      <c r="A25" s="11">
        <f t="shared" si="2"/>
        <v>19</v>
      </c>
      <c r="B25" s="19" t="s">
        <v>943</v>
      </c>
      <c r="C25" s="19" t="s">
        <v>942</v>
      </c>
      <c r="D25" s="19">
        <v>105208</v>
      </c>
      <c r="E25" s="356" t="s">
        <v>944</v>
      </c>
      <c r="F25" s="14">
        <v>52.5</v>
      </c>
      <c r="G25" s="56">
        <v>50</v>
      </c>
      <c r="H25" s="21">
        <v>2.5</v>
      </c>
      <c r="I25" s="147"/>
      <c r="J25" s="18">
        <f>SUM(G25+H25+I25)</f>
        <v>52.5</v>
      </c>
      <c r="K25" s="41"/>
      <c r="L25" s="85">
        <f>+(F25-((SUM(J25+K25))))</f>
        <v>0</v>
      </c>
      <c r="M25" s="218"/>
      <c r="N25" s="6"/>
    </row>
    <row r="26" spans="1:16" ht="15.75">
      <c r="A26" s="11">
        <f t="shared" si="2"/>
        <v>20</v>
      </c>
      <c r="B26" s="55" t="s">
        <v>945</v>
      </c>
      <c r="C26" s="55" t="s">
        <v>942</v>
      </c>
      <c r="D26" s="55">
        <v>105165</v>
      </c>
      <c r="E26" s="356" t="s">
        <v>946</v>
      </c>
      <c r="F26" s="147">
        <v>52.5</v>
      </c>
      <c r="G26" s="56">
        <v>50</v>
      </c>
      <c r="H26" s="21">
        <v>2.5</v>
      </c>
      <c r="I26" s="147"/>
      <c r="J26" s="18">
        <f>SUM(G26+H26+I26)</f>
        <v>52.5</v>
      </c>
      <c r="K26" s="41"/>
      <c r="L26" s="85">
        <f>+(F26-((SUM(J26+K26))))</f>
        <v>0</v>
      </c>
      <c r="M26" s="37"/>
      <c r="N26" s="40"/>
    </row>
    <row r="27" spans="1:16" ht="15.75">
      <c r="A27" s="11">
        <f t="shared" si="2"/>
        <v>21</v>
      </c>
      <c r="B27" s="19" t="s">
        <v>421</v>
      </c>
      <c r="C27" s="19" t="s">
        <v>942</v>
      </c>
      <c r="D27" s="19">
        <v>101555</v>
      </c>
      <c r="E27" s="356" t="s">
        <v>422</v>
      </c>
      <c r="F27" s="14">
        <v>105</v>
      </c>
      <c r="G27" s="74">
        <v>100</v>
      </c>
      <c r="H27" s="75">
        <v>5</v>
      </c>
      <c r="I27" s="14"/>
      <c r="J27" s="18">
        <f t="shared" si="0"/>
        <v>105</v>
      </c>
      <c r="K27" s="32"/>
      <c r="L27" s="33">
        <f t="shared" si="1"/>
        <v>0</v>
      </c>
      <c r="M27" s="215"/>
      <c r="N27" s="59" t="s">
        <v>525</v>
      </c>
    </row>
    <row r="28" spans="1:16" ht="15.75">
      <c r="A28" s="11">
        <f t="shared" si="2"/>
        <v>22</v>
      </c>
      <c r="B28" s="19" t="s">
        <v>507</v>
      </c>
      <c r="C28" s="19" t="s">
        <v>942</v>
      </c>
      <c r="D28" s="19">
        <v>101412</v>
      </c>
      <c r="E28" s="356" t="s">
        <v>183</v>
      </c>
      <c r="F28" s="14">
        <v>52.5</v>
      </c>
      <c r="G28" s="20">
        <v>50</v>
      </c>
      <c r="H28" s="21">
        <v>2.5</v>
      </c>
      <c r="I28" s="14"/>
      <c r="J28" s="18">
        <f t="shared" si="0"/>
        <v>52.5</v>
      </c>
      <c r="K28" s="32"/>
      <c r="L28" s="33">
        <f t="shared" si="1"/>
        <v>0</v>
      </c>
      <c r="M28" s="215"/>
      <c r="N28" s="60" t="s">
        <v>79</v>
      </c>
    </row>
    <row r="29" spans="1:16" ht="15.75">
      <c r="A29" s="11">
        <f t="shared" si="2"/>
        <v>23</v>
      </c>
      <c r="B29" s="19" t="s">
        <v>508</v>
      </c>
      <c r="C29" s="19" t="s">
        <v>942</v>
      </c>
      <c r="D29" s="19">
        <v>101057</v>
      </c>
      <c r="E29" s="355" t="s">
        <v>86</v>
      </c>
      <c r="F29" s="14">
        <v>52.5</v>
      </c>
      <c r="G29" s="74">
        <v>50</v>
      </c>
      <c r="H29" s="75">
        <v>2.5</v>
      </c>
      <c r="I29" s="14"/>
      <c r="J29" s="18">
        <f t="shared" si="0"/>
        <v>52.5</v>
      </c>
      <c r="K29" s="32"/>
      <c r="L29" s="33">
        <f t="shared" si="1"/>
        <v>0</v>
      </c>
      <c r="M29" s="215"/>
      <c r="N29" s="40"/>
    </row>
    <row r="30" spans="1:16" ht="15.75">
      <c r="A30" s="11">
        <f t="shared" si="2"/>
        <v>24</v>
      </c>
      <c r="B30" s="19" t="s">
        <v>509</v>
      </c>
      <c r="C30" s="19" t="s">
        <v>942</v>
      </c>
      <c r="D30" s="19">
        <v>101208</v>
      </c>
      <c r="E30" s="356" t="s">
        <v>510</v>
      </c>
      <c r="F30" s="14">
        <v>105</v>
      </c>
      <c r="G30" s="74">
        <v>100</v>
      </c>
      <c r="H30" s="75">
        <v>5</v>
      </c>
      <c r="I30" s="14"/>
      <c r="J30" s="18">
        <f t="shared" si="0"/>
        <v>105</v>
      </c>
      <c r="K30" s="32"/>
      <c r="L30" s="33">
        <f t="shared" si="1"/>
        <v>0</v>
      </c>
      <c r="M30" s="215"/>
      <c r="N30" s="40"/>
      <c r="P30" s="242"/>
    </row>
    <row r="31" spans="1:16" ht="15.75">
      <c r="A31" s="11">
        <f t="shared" si="2"/>
        <v>25</v>
      </c>
      <c r="B31" s="19" t="s">
        <v>511</v>
      </c>
      <c r="C31" s="19" t="s">
        <v>942</v>
      </c>
      <c r="D31" s="19">
        <v>101630</v>
      </c>
      <c r="E31" s="355" t="s">
        <v>512</v>
      </c>
      <c r="F31" s="14">
        <v>52.5</v>
      </c>
      <c r="G31" s="74">
        <v>50</v>
      </c>
      <c r="H31" s="75">
        <v>2.5</v>
      </c>
      <c r="I31" s="14"/>
      <c r="J31" s="18">
        <f t="shared" si="0"/>
        <v>52.5</v>
      </c>
      <c r="K31" s="32"/>
      <c r="L31" s="33">
        <f t="shared" si="1"/>
        <v>0</v>
      </c>
      <c r="M31" s="215"/>
      <c r="N31" s="40"/>
    </row>
    <row r="32" spans="1:16" ht="15.75">
      <c r="A32" s="11">
        <f t="shared" si="2"/>
        <v>26</v>
      </c>
      <c r="B32" s="19" t="s">
        <v>413</v>
      </c>
      <c r="C32" s="19" t="s">
        <v>942</v>
      </c>
      <c r="D32" s="19">
        <v>101754</v>
      </c>
      <c r="E32" s="356" t="s">
        <v>513</v>
      </c>
      <c r="F32" s="14">
        <v>52.5</v>
      </c>
      <c r="G32" s="74">
        <v>50</v>
      </c>
      <c r="H32" s="75">
        <v>2.5</v>
      </c>
      <c r="I32" s="14"/>
      <c r="J32" s="18">
        <f t="shared" si="0"/>
        <v>52.5</v>
      </c>
      <c r="K32" s="32"/>
      <c r="L32" s="33">
        <f t="shared" si="1"/>
        <v>0</v>
      </c>
      <c r="M32" s="215"/>
      <c r="N32" s="40"/>
    </row>
    <row r="33" spans="1:14" ht="15.75">
      <c r="A33" s="11">
        <f t="shared" si="2"/>
        <v>27</v>
      </c>
      <c r="B33" s="19" t="s">
        <v>515</v>
      </c>
      <c r="C33" s="19" t="s">
        <v>942</v>
      </c>
      <c r="D33" s="19">
        <v>101786</v>
      </c>
      <c r="E33" s="355" t="s">
        <v>516</v>
      </c>
      <c r="F33" s="14">
        <v>52.5</v>
      </c>
      <c r="G33" s="74">
        <v>50</v>
      </c>
      <c r="H33" s="75">
        <v>2.5</v>
      </c>
      <c r="I33" s="14"/>
      <c r="J33" s="18">
        <f t="shared" si="0"/>
        <v>52.5</v>
      </c>
      <c r="K33" s="32"/>
      <c r="L33" s="33">
        <f t="shared" si="1"/>
        <v>0</v>
      </c>
      <c r="M33" s="37"/>
      <c r="N33" s="195"/>
    </row>
    <row r="34" spans="1:14" ht="15.75">
      <c r="A34" s="11">
        <f t="shared" si="2"/>
        <v>28</v>
      </c>
      <c r="B34" s="19" t="s">
        <v>900</v>
      </c>
      <c r="C34" s="19" t="s">
        <v>942</v>
      </c>
      <c r="D34" s="19">
        <v>101755</v>
      </c>
      <c r="E34" s="356" t="s">
        <v>901</v>
      </c>
      <c r="F34" s="14">
        <v>52.5</v>
      </c>
      <c r="G34" s="74">
        <v>50</v>
      </c>
      <c r="H34" s="54">
        <v>2.5</v>
      </c>
      <c r="I34" s="14"/>
      <c r="J34" s="18">
        <f t="shared" si="0"/>
        <v>52.5</v>
      </c>
      <c r="K34" s="32"/>
      <c r="L34" s="33">
        <f>+(F34-((SUM(J34+K34))))</f>
        <v>0</v>
      </c>
      <c r="M34" s="37"/>
      <c r="N34" s="194"/>
    </row>
    <row r="35" spans="1:14" ht="15.75">
      <c r="A35" s="11">
        <f t="shared" si="2"/>
        <v>29</v>
      </c>
      <c r="B35" s="19" t="s">
        <v>948</v>
      </c>
      <c r="C35" s="19" t="s">
        <v>942</v>
      </c>
      <c r="D35" s="19">
        <v>105127</v>
      </c>
      <c r="E35" s="356" t="s">
        <v>949</v>
      </c>
      <c r="F35" s="14">
        <v>52.5</v>
      </c>
      <c r="G35" s="20">
        <v>50</v>
      </c>
      <c r="H35" s="21">
        <v>2.5</v>
      </c>
      <c r="I35" s="14"/>
      <c r="J35" s="18">
        <f>SUM(G35+H35+I35)</f>
        <v>52.5</v>
      </c>
      <c r="K35" s="32"/>
      <c r="L35" s="33">
        <f>+(F35-((SUM(J35+K35))))</f>
        <v>0</v>
      </c>
      <c r="M35" s="218"/>
      <c r="N35" s="6" t="s">
        <v>539</v>
      </c>
    </row>
    <row r="36" spans="1:14" ht="15.75">
      <c r="A36" s="11">
        <f t="shared" si="2"/>
        <v>30</v>
      </c>
      <c r="B36" s="55" t="s">
        <v>950</v>
      </c>
      <c r="C36" s="55" t="s">
        <v>942</v>
      </c>
      <c r="D36" s="55">
        <v>105164</v>
      </c>
      <c r="E36" s="356" t="s">
        <v>951</v>
      </c>
      <c r="F36" s="147">
        <v>52.5</v>
      </c>
      <c r="G36" s="56">
        <v>50</v>
      </c>
      <c r="H36" s="21">
        <v>2.5</v>
      </c>
      <c r="I36" s="147"/>
      <c r="J36" s="18">
        <f>SUM(G36+H36+I36)</f>
        <v>52.5</v>
      </c>
      <c r="K36" s="41"/>
      <c r="L36" s="85">
        <f>+(F36-((SUM(J36+K36))))</f>
        <v>0</v>
      </c>
      <c r="M36" s="218"/>
      <c r="N36" s="6" t="s">
        <v>542</v>
      </c>
    </row>
    <row r="37" spans="1:14" ht="15.75">
      <c r="A37" s="11">
        <f t="shared" si="2"/>
        <v>31</v>
      </c>
      <c r="B37" s="19" t="s">
        <v>517</v>
      </c>
      <c r="C37" s="19"/>
      <c r="D37" s="19"/>
      <c r="E37" s="356" t="s">
        <v>153</v>
      </c>
      <c r="F37" s="14">
        <v>52.5</v>
      </c>
      <c r="G37" s="20">
        <v>50</v>
      </c>
      <c r="H37" s="21">
        <v>2.5</v>
      </c>
      <c r="I37" s="14"/>
      <c r="J37" s="18">
        <f t="shared" si="0"/>
        <v>52.5</v>
      </c>
      <c r="K37" s="32"/>
      <c r="L37" s="33">
        <f t="shared" si="1"/>
        <v>0</v>
      </c>
      <c r="M37" s="215"/>
      <c r="N37" s="40"/>
    </row>
    <row r="38" spans="1:14" ht="15.75">
      <c r="A38" s="11">
        <f t="shared" si="2"/>
        <v>32</v>
      </c>
      <c r="B38" s="19" t="s">
        <v>403</v>
      </c>
      <c r="C38" s="19"/>
      <c r="D38" s="19"/>
      <c r="E38" s="356" t="s">
        <v>518</v>
      </c>
      <c r="F38" s="14">
        <v>52.5</v>
      </c>
      <c r="G38" s="20">
        <v>50</v>
      </c>
      <c r="H38" s="21">
        <v>2.5</v>
      </c>
      <c r="I38" s="14"/>
      <c r="J38" s="18">
        <f t="shared" si="0"/>
        <v>52.5</v>
      </c>
      <c r="K38" s="32"/>
      <c r="L38" s="33">
        <f t="shared" si="1"/>
        <v>0</v>
      </c>
      <c r="M38" s="215"/>
      <c r="N38" s="40"/>
    </row>
    <row r="39" spans="1:14" ht="15.75">
      <c r="A39" s="11">
        <f t="shared" si="2"/>
        <v>33</v>
      </c>
      <c r="B39" s="132" t="s">
        <v>519</v>
      </c>
      <c r="C39" s="197"/>
      <c r="D39" s="197"/>
      <c r="E39" s="356" t="s">
        <v>520</v>
      </c>
      <c r="F39" s="14">
        <v>52.5</v>
      </c>
      <c r="G39" s="238">
        <v>50</v>
      </c>
      <c r="H39" s="131">
        <v>2.5</v>
      </c>
      <c r="I39" s="14"/>
      <c r="J39" s="18">
        <f t="shared" si="0"/>
        <v>52.5</v>
      </c>
      <c r="K39" s="32"/>
      <c r="L39" s="33">
        <f t="shared" si="1"/>
        <v>0</v>
      </c>
      <c r="M39" s="215"/>
      <c r="N39" s="40"/>
    </row>
    <row r="40" spans="1:14" ht="15.75">
      <c r="A40" s="11">
        <f t="shared" si="2"/>
        <v>34</v>
      </c>
      <c r="B40" s="19" t="s">
        <v>523</v>
      </c>
      <c r="C40" s="19" t="s">
        <v>942</v>
      </c>
      <c r="D40" s="19">
        <v>101798</v>
      </c>
      <c r="E40" s="356" t="s">
        <v>524</v>
      </c>
      <c r="F40" s="14">
        <v>105</v>
      </c>
      <c r="G40" s="74">
        <v>100</v>
      </c>
      <c r="H40" s="54">
        <v>5</v>
      </c>
      <c r="I40" s="14"/>
      <c r="J40" s="18">
        <f t="shared" si="0"/>
        <v>105</v>
      </c>
      <c r="K40" s="32"/>
      <c r="L40" s="33">
        <f t="shared" si="1"/>
        <v>0</v>
      </c>
      <c r="M40" s="215"/>
      <c r="N40" s="195"/>
    </row>
    <row r="41" spans="1:14" ht="15.75">
      <c r="A41" s="11">
        <f t="shared" si="2"/>
        <v>35</v>
      </c>
      <c r="B41" s="19" t="s">
        <v>526</v>
      </c>
      <c r="C41" s="19" t="s">
        <v>942</v>
      </c>
      <c r="D41" s="19">
        <v>101859</v>
      </c>
      <c r="E41" s="355" t="s">
        <v>74</v>
      </c>
      <c r="F41" s="14">
        <v>105</v>
      </c>
      <c r="G41" s="74">
        <v>100</v>
      </c>
      <c r="H41" s="75">
        <v>5</v>
      </c>
      <c r="I41" s="14"/>
      <c r="J41" s="18">
        <f t="shared" si="0"/>
        <v>105</v>
      </c>
      <c r="K41" s="32"/>
      <c r="L41" s="33">
        <f t="shared" si="1"/>
        <v>0</v>
      </c>
      <c r="M41" s="215"/>
      <c r="N41" s="194"/>
    </row>
    <row r="42" spans="1:14" ht="15.75">
      <c r="A42" s="11">
        <f t="shared" si="2"/>
        <v>36</v>
      </c>
      <c r="B42" s="19" t="s">
        <v>527</v>
      </c>
      <c r="C42" s="19" t="s">
        <v>942</v>
      </c>
      <c r="D42" s="19">
        <v>101564</v>
      </c>
      <c r="E42" s="356" t="s">
        <v>528</v>
      </c>
      <c r="F42" s="14">
        <v>210</v>
      </c>
      <c r="G42" s="74">
        <v>200</v>
      </c>
      <c r="H42" s="75">
        <v>10</v>
      </c>
      <c r="I42" s="14"/>
      <c r="J42" s="18">
        <f t="shared" si="0"/>
        <v>210</v>
      </c>
      <c r="K42" s="32"/>
      <c r="L42" s="33">
        <f t="shared" si="1"/>
        <v>0</v>
      </c>
      <c r="M42" s="215"/>
      <c r="N42" s="6" t="s">
        <v>557</v>
      </c>
    </row>
    <row r="43" spans="1:14" ht="15.75">
      <c r="A43" s="11">
        <f t="shared" si="2"/>
        <v>37</v>
      </c>
      <c r="B43" s="19" t="s">
        <v>529</v>
      </c>
      <c r="C43" s="19" t="s">
        <v>942</v>
      </c>
      <c r="D43" s="19">
        <v>101748</v>
      </c>
      <c r="E43" s="356" t="s">
        <v>530</v>
      </c>
      <c r="F43" s="14">
        <v>52.5</v>
      </c>
      <c r="G43" s="74">
        <v>50</v>
      </c>
      <c r="H43" s="75">
        <v>2.5</v>
      </c>
      <c r="I43" s="14"/>
      <c r="J43" s="18">
        <f t="shared" si="0"/>
        <v>52.5</v>
      </c>
      <c r="K43" s="32"/>
      <c r="L43" s="33">
        <f t="shared" si="1"/>
        <v>0</v>
      </c>
      <c r="M43" s="215"/>
      <c r="N43" s="6" t="s">
        <v>559</v>
      </c>
    </row>
    <row r="44" spans="1:14" ht="15.75">
      <c r="A44" s="11">
        <f t="shared" si="2"/>
        <v>38</v>
      </c>
      <c r="B44" s="19" t="s">
        <v>531</v>
      </c>
      <c r="C44" s="19" t="s">
        <v>942</v>
      </c>
      <c r="D44" s="19">
        <v>101608</v>
      </c>
      <c r="E44" s="355" t="s">
        <v>532</v>
      </c>
      <c r="F44" s="14">
        <v>105</v>
      </c>
      <c r="G44" s="74">
        <v>100</v>
      </c>
      <c r="H44" s="75">
        <v>5</v>
      </c>
      <c r="I44" s="14"/>
      <c r="J44" s="18">
        <f t="shared" si="0"/>
        <v>105</v>
      </c>
      <c r="K44" s="32"/>
      <c r="L44" s="33">
        <f t="shared" si="1"/>
        <v>0</v>
      </c>
      <c r="M44" s="215"/>
      <c r="N44" s="6"/>
    </row>
    <row r="45" spans="1:14" ht="15.75">
      <c r="A45" s="11">
        <f t="shared" si="2"/>
        <v>39</v>
      </c>
      <c r="B45" s="19" t="s">
        <v>533</v>
      </c>
      <c r="C45" s="19" t="s">
        <v>942</v>
      </c>
      <c r="D45" s="19">
        <v>101845</v>
      </c>
      <c r="E45" s="356" t="s">
        <v>534</v>
      </c>
      <c r="F45" s="14">
        <v>226.74</v>
      </c>
      <c r="G45" s="53">
        <v>200</v>
      </c>
      <c r="H45" s="54">
        <v>10</v>
      </c>
      <c r="I45" s="14">
        <v>16.739999999999998</v>
      </c>
      <c r="J45" s="18">
        <f t="shared" si="0"/>
        <v>226.74</v>
      </c>
      <c r="K45" s="32"/>
      <c r="L45" s="33">
        <f t="shared" si="1"/>
        <v>0</v>
      </c>
      <c r="M45" s="215"/>
    </row>
    <row r="46" spans="1:14" ht="15.75">
      <c r="A46" s="11">
        <f t="shared" si="2"/>
        <v>40</v>
      </c>
      <c r="B46" s="19" t="s">
        <v>535</v>
      </c>
      <c r="C46" s="19" t="s">
        <v>942</v>
      </c>
      <c r="D46" s="19">
        <v>101022</v>
      </c>
      <c r="E46" s="356" t="s">
        <v>185</v>
      </c>
      <c r="F46" s="14">
        <v>138.63999999999999</v>
      </c>
      <c r="G46" s="20">
        <v>100</v>
      </c>
      <c r="H46" s="21">
        <v>5</v>
      </c>
      <c r="I46" s="14">
        <v>33.64</v>
      </c>
      <c r="J46" s="18">
        <f t="shared" si="0"/>
        <v>138.63999999999999</v>
      </c>
      <c r="K46" s="32"/>
      <c r="L46" s="33">
        <f t="shared" si="1"/>
        <v>0</v>
      </c>
      <c r="M46" s="215"/>
    </row>
    <row r="47" spans="1:14" ht="15.75">
      <c r="A47" s="11">
        <f t="shared" si="2"/>
        <v>41</v>
      </c>
      <c r="B47" s="19" t="s">
        <v>536</v>
      </c>
      <c r="C47" s="19" t="s">
        <v>942</v>
      </c>
      <c r="D47" s="19">
        <v>101864</v>
      </c>
      <c r="E47" s="356" t="s">
        <v>537</v>
      </c>
      <c r="F47" s="14">
        <v>52.5</v>
      </c>
      <c r="G47" s="74">
        <v>50</v>
      </c>
      <c r="H47" s="75">
        <v>2.5</v>
      </c>
      <c r="I47" s="14"/>
      <c r="J47" s="18">
        <f t="shared" si="0"/>
        <v>52.5</v>
      </c>
      <c r="K47" s="32"/>
      <c r="L47" s="33">
        <f t="shared" si="1"/>
        <v>0</v>
      </c>
      <c r="M47" s="215"/>
    </row>
    <row r="48" spans="1:14" ht="15.75">
      <c r="A48" s="11">
        <f t="shared" si="2"/>
        <v>42</v>
      </c>
      <c r="B48" s="19" t="s">
        <v>981</v>
      </c>
      <c r="C48" s="19" t="s">
        <v>942</v>
      </c>
      <c r="D48" s="19">
        <v>105175</v>
      </c>
      <c r="E48" s="356" t="s">
        <v>982</v>
      </c>
      <c r="F48" s="14">
        <v>105</v>
      </c>
      <c r="G48" s="20">
        <v>100</v>
      </c>
      <c r="H48" s="21">
        <v>5</v>
      </c>
      <c r="I48" s="14"/>
      <c r="J48" s="18">
        <f>SUM(G48+H48+I48)</f>
        <v>105</v>
      </c>
      <c r="K48" s="41"/>
      <c r="L48" s="85">
        <f>+(F48-((SUM(J48+K48))))</f>
        <v>0</v>
      </c>
      <c r="M48" s="218"/>
    </row>
    <row r="49" spans="1:14" ht="15.75">
      <c r="A49" s="11">
        <f t="shared" si="2"/>
        <v>43</v>
      </c>
      <c r="B49" s="19" t="s">
        <v>538</v>
      </c>
      <c r="C49" s="19" t="s">
        <v>942</v>
      </c>
      <c r="D49" s="19">
        <v>101429</v>
      </c>
      <c r="E49" s="356" t="s">
        <v>165</v>
      </c>
      <c r="F49" s="14">
        <v>52.5</v>
      </c>
      <c r="G49" s="20">
        <v>50</v>
      </c>
      <c r="H49" s="21">
        <v>2.5</v>
      </c>
      <c r="I49" s="14"/>
      <c r="J49" s="18">
        <f t="shared" si="0"/>
        <v>52.5</v>
      </c>
      <c r="K49" s="32"/>
      <c r="L49" s="33">
        <f t="shared" si="1"/>
        <v>0</v>
      </c>
      <c r="M49" s="215"/>
    </row>
    <row r="50" spans="1:14" ht="15.75">
      <c r="A50" s="11">
        <f t="shared" si="2"/>
        <v>44</v>
      </c>
      <c r="B50" s="19" t="s">
        <v>540</v>
      </c>
      <c r="C50" s="19" t="s">
        <v>942</v>
      </c>
      <c r="D50" s="19">
        <v>101790</v>
      </c>
      <c r="E50" s="356" t="s">
        <v>541</v>
      </c>
      <c r="F50" s="14">
        <v>52.5</v>
      </c>
      <c r="G50" s="74">
        <v>50</v>
      </c>
      <c r="H50" s="54">
        <v>2.5</v>
      </c>
      <c r="I50" s="14"/>
      <c r="J50" s="18">
        <f t="shared" si="0"/>
        <v>52.5</v>
      </c>
      <c r="K50" s="32"/>
      <c r="L50" s="33">
        <f t="shared" si="1"/>
        <v>0</v>
      </c>
      <c r="M50" s="37"/>
    </row>
    <row r="51" spans="1:14" ht="15.75">
      <c r="A51" s="11">
        <f t="shared" si="2"/>
        <v>45</v>
      </c>
      <c r="B51" s="19" t="s">
        <v>545</v>
      </c>
      <c r="C51" s="19" t="s">
        <v>942</v>
      </c>
      <c r="D51" s="19">
        <v>101848</v>
      </c>
      <c r="E51" s="355" t="s">
        <v>546</v>
      </c>
      <c r="F51" s="14">
        <v>72.02</v>
      </c>
      <c r="G51" s="74">
        <v>50</v>
      </c>
      <c r="H51" s="75">
        <v>2.5</v>
      </c>
      <c r="I51" s="14">
        <v>19.52</v>
      </c>
      <c r="J51" s="18">
        <f t="shared" si="0"/>
        <v>72.02</v>
      </c>
      <c r="K51" s="32"/>
      <c r="L51" s="33">
        <f t="shared" si="1"/>
        <v>0</v>
      </c>
      <c r="M51" s="215"/>
    </row>
    <row r="52" spans="1:14" ht="15.75">
      <c r="A52" s="11">
        <f t="shared" si="2"/>
        <v>46</v>
      </c>
      <c r="B52" s="30" t="s">
        <v>558</v>
      </c>
      <c r="C52" s="19" t="s">
        <v>942</v>
      </c>
      <c r="D52" s="19">
        <v>101451</v>
      </c>
      <c r="E52" s="359" t="s">
        <v>125</v>
      </c>
      <c r="F52" s="14">
        <v>105</v>
      </c>
      <c r="G52" s="74">
        <v>100</v>
      </c>
      <c r="H52" s="75">
        <v>5</v>
      </c>
      <c r="I52" s="249"/>
      <c r="J52" s="18">
        <f t="shared" si="0"/>
        <v>105</v>
      </c>
      <c r="K52" s="35"/>
      <c r="L52" s="36">
        <f t="shared" si="1"/>
        <v>0</v>
      </c>
      <c r="M52" s="37"/>
    </row>
    <row r="53" spans="1:14" ht="18.75" customHeight="1">
      <c r="A53" s="11">
        <f t="shared" si="2"/>
        <v>47</v>
      </c>
      <c r="B53" s="19" t="s">
        <v>560</v>
      </c>
      <c r="C53" s="19" t="s">
        <v>942</v>
      </c>
      <c r="D53" s="19">
        <v>101760</v>
      </c>
      <c r="E53" s="356" t="s">
        <v>561</v>
      </c>
      <c r="F53" s="14">
        <v>52.5</v>
      </c>
      <c r="G53" s="74">
        <v>50</v>
      </c>
      <c r="H53" s="75">
        <v>2.5</v>
      </c>
      <c r="I53" s="14"/>
      <c r="J53" s="18">
        <f t="shared" si="0"/>
        <v>52.5</v>
      </c>
      <c r="K53" s="32"/>
      <c r="L53" s="33">
        <f t="shared" si="1"/>
        <v>0</v>
      </c>
      <c r="M53" s="215"/>
    </row>
    <row r="54" spans="1:14" ht="17.25" customHeight="1">
      <c r="A54" s="11">
        <f t="shared" si="2"/>
        <v>48</v>
      </c>
      <c r="B54" s="19" t="s">
        <v>562</v>
      </c>
      <c r="C54" s="19" t="s">
        <v>942</v>
      </c>
      <c r="D54" s="19">
        <v>101575</v>
      </c>
      <c r="E54" s="356" t="s">
        <v>563</v>
      </c>
      <c r="F54" s="14">
        <v>52.5</v>
      </c>
      <c r="G54" s="20">
        <v>50</v>
      </c>
      <c r="H54" s="75">
        <v>2.5</v>
      </c>
      <c r="I54" s="14"/>
      <c r="J54" s="18">
        <f t="shared" si="0"/>
        <v>52.5</v>
      </c>
      <c r="K54" s="32"/>
      <c r="L54" s="33">
        <f t="shared" si="1"/>
        <v>0</v>
      </c>
      <c r="M54" s="215"/>
    </row>
    <row r="55" spans="1:14" ht="16.5" customHeight="1">
      <c r="A55" s="11">
        <f t="shared" si="2"/>
        <v>49</v>
      </c>
      <c r="B55" s="19" t="s">
        <v>564</v>
      </c>
      <c r="C55" s="19" t="s">
        <v>942</v>
      </c>
      <c r="D55" s="19">
        <v>101852</v>
      </c>
      <c r="E55" s="356" t="s">
        <v>307</v>
      </c>
      <c r="F55" s="14">
        <v>105</v>
      </c>
      <c r="G55" s="53">
        <v>100</v>
      </c>
      <c r="H55" s="54">
        <v>5</v>
      </c>
      <c r="I55" s="248"/>
      <c r="J55" s="18">
        <f t="shared" si="0"/>
        <v>105</v>
      </c>
      <c r="K55" s="61"/>
      <c r="L55" s="33">
        <f>+(F55-((SUM(J55+K55))))</f>
        <v>0</v>
      </c>
      <c r="M55" s="37"/>
    </row>
    <row r="56" spans="1:14" ht="15.75">
      <c r="A56" s="11">
        <f t="shared" si="2"/>
        <v>50</v>
      </c>
      <c r="B56" s="30" t="s">
        <v>565</v>
      </c>
      <c r="C56" s="19" t="s">
        <v>942</v>
      </c>
      <c r="D56" s="19">
        <v>101622</v>
      </c>
      <c r="E56" s="315" t="s">
        <v>566</v>
      </c>
      <c r="F56" s="14">
        <v>52.5</v>
      </c>
      <c r="G56" s="74">
        <v>50</v>
      </c>
      <c r="H56" s="75">
        <v>2.5</v>
      </c>
      <c r="I56" s="249"/>
      <c r="J56" s="18">
        <f t="shared" si="0"/>
        <v>52.5</v>
      </c>
      <c r="K56" s="35"/>
      <c r="L56" s="36">
        <f t="shared" si="1"/>
        <v>0</v>
      </c>
      <c r="M56" s="215"/>
    </row>
    <row r="57" spans="1:14" ht="15.75">
      <c r="A57" s="11">
        <f t="shared" si="2"/>
        <v>51</v>
      </c>
      <c r="B57" s="19" t="s">
        <v>60</v>
      </c>
      <c r="C57" s="19" t="s">
        <v>942</v>
      </c>
      <c r="D57" s="19">
        <v>101744</v>
      </c>
      <c r="E57" s="356" t="s">
        <v>62</v>
      </c>
      <c r="F57" s="14">
        <v>52.5</v>
      </c>
      <c r="G57" s="53">
        <v>50</v>
      </c>
      <c r="H57" s="54">
        <v>2.5</v>
      </c>
      <c r="I57" s="14"/>
      <c r="J57" s="18">
        <f t="shared" si="0"/>
        <v>52.5</v>
      </c>
      <c r="K57" s="32"/>
      <c r="L57" s="33">
        <f t="shared" si="1"/>
        <v>0</v>
      </c>
      <c r="M57" s="215"/>
    </row>
    <row r="58" spans="1:14" ht="15.75">
      <c r="A58" s="11">
        <f t="shared" si="2"/>
        <v>52</v>
      </c>
      <c r="B58" s="19" t="s">
        <v>576</v>
      </c>
      <c r="C58" s="19" t="s">
        <v>942</v>
      </c>
      <c r="D58" s="19">
        <v>101501</v>
      </c>
      <c r="E58" s="355" t="s">
        <v>577</v>
      </c>
      <c r="F58" s="14">
        <v>52.5</v>
      </c>
      <c r="G58" s="74">
        <v>50</v>
      </c>
      <c r="H58" s="75">
        <v>2.5</v>
      </c>
      <c r="I58" s="14"/>
      <c r="J58" s="18">
        <f t="shared" si="0"/>
        <v>52.5</v>
      </c>
      <c r="K58" s="32"/>
      <c r="L58" s="33">
        <f t="shared" si="1"/>
        <v>0</v>
      </c>
      <c r="M58" s="215"/>
    </row>
    <row r="59" spans="1:14" ht="15.75">
      <c r="A59" s="11">
        <f t="shared" si="2"/>
        <v>53</v>
      </c>
      <c r="B59" s="280" t="s">
        <v>999</v>
      </c>
      <c r="C59" s="12" t="s">
        <v>942</v>
      </c>
      <c r="D59" s="19">
        <v>101908</v>
      </c>
      <c r="E59" s="315" t="s">
        <v>1000</v>
      </c>
      <c r="F59" s="14">
        <v>52.5</v>
      </c>
      <c r="G59" s="74">
        <v>50</v>
      </c>
      <c r="H59" s="75">
        <v>2.5</v>
      </c>
      <c r="I59" s="249"/>
      <c r="J59" s="18">
        <f>SUM(G59+H59+I59)</f>
        <v>52.5</v>
      </c>
      <c r="K59" s="35"/>
      <c r="L59" s="36">
        <f>+(F59-((SUM(J59+K59))))</f>
        <v>0</v>
      </c>
      <c r="M59" s="215"/>
    </row>
    <row r="60" spans="1:14" ht="15.75">
      <c r="A60" s="11">
        <f t="shared" si="2"/>
        <v>54</v>
      </c>
      <c r="B60" s="301" t="s">
        <v>1053</v>
      </c>
      <c r="C60" s="197" t="s">
        <v>942</v>
      </c>
      <c r="D60" s="197">
        <v>105555</v>
      </c>
      <c r="E60" s="356" t="s">
        <v>1055</v>
      </c>
      <c r="F60" s="14">
        <v>52.5</v>
      </c>
      <c r="G60" s="238">
        <v>50</v>
      </c>
      <c r="H60" s="131">
        <v>2.5</v>
      </c>
      <c r="I60" s="14"/>
      <c r="J60" s="18">
        <f>SUM(G60+H60+I60)</f>
        <v>52.5</v>
      </c>
      <c r="K60" s="32"/>
      <c r="L60" s="33">
        <f>+(F60-((SUM(J60+K60))))</f>
        <v>0</v>
      </c>
      <c r="M60" s="215"/>
    </row>
    <row r="61" spans="1:14" ht="15.75">
      <c r="A61" s="11">
        <f t="shared" si="2"/>
        <v>55</v>
      </c>
      <c r="B61" s="19" t="s">
        <v>578</v>
      </c>
      <c r="C61" s="19" t="s">
        <v>942</v>
      </c>
      <c r="D61" s="19">
        <v>101574</v>
      </c>
      <c r="E61" s="355" t="s">
        <v>579</v>
      </c>
      <c r="F61" s="14">
        <v>105</v>
      </c>
      <c r="G61" s="20">
        <v>100</v>
      </c>
      <c r="H61" s="21">
        <v>5</v>
      </c>
      <c r="I61" s="248"/>
      <c r="J61" s="18">
        <f t="shared" si="0"/>
        <v>105</v>
      </c>
      <c r="K61" s="32"/>
      <c r="L61" s="33">
        <f t="shared" si="1"/>
        <v>0</v>
      </c>
      <c r="M61" s="37"/>
    </row>
    <row r="62" spans="1:14" ht="15.75">
      <c r="A62" s="11">
        <f t="shared" si="2"/>
        <v>56</v>
      </c>
      <c r="B62" s="267" t="s">
        <v>1027</v>
      </c>
      <c r="C62" s="276" t="s">
        <v>942</v>
      </c>
      <c r="D62" s="344">
        <v>105501</v>
      </c>
      <c r="E62" s="317" t="s">
        <v>1028</v>
      </c>
      <c r="F62" s="268">
        <v>52.5</v>
      </c>
      <c r="G62" s="269">
        <v>50</v>
      </c>
      <c r="H62" s="270">
        <v>2.5</v>
      </c>
      <c r="I62" s="345"/>
      <c r="J62" s="346">
        <f>SUM(G62+H62+I62)</f>
        <v>52.5</v>
      </c>
      <c r="K62" s="347"/>
      <c r="L62" s="348">
        <f>+(F62-((SUM(J62+K62))))</f>
        <v>0</v>
      </c>
      <c r="M62" s="271"/>
    </row>
    <row r="63" spans="1:14" ht="15.75">
      <c r="A63" s="11">
        <f t="shared" si="2"/>
        <v>57</v>
      </c>
      <c r="B63" s="19" t="s">
        <v>582</v>
      </c>
      <c r="C63" s="19" t="s">
        <v>942</v>
      </c>
      <c r="D63" s="19">
        <v>101885</v>
      </c>
      <c r="E63" s="356" t="s">
        <v>583</v>
      </c>
      <c r="F63" s="14">
        <v>52.5</v>
      </c>
      <c r="G63" s="74">
        <v>50</v>
      </c>
      <c r="H63" s="54">
        <v>2.5</v>
      </c>
      <c r="I63" s="14"/>
      <c r="J63" s="18">
        <f t="shared" si="0"/>
        <v>52.5</v>
      </c>
      <c r="K63" s="32"/>
      <c r="L63" s="33">
        <f t="shared" si="1"/>
        <v>0</v>
      </c>
      <c r="M63" s="215"/>
    </row>
    <row r="64" spans="1:14" ht="15.75">
      <c r="A64" s="11">
        <f t="shared" si="2"/>
        <v>58</v>
      </c>
      <c r="B64" s="333" t="s">
        <v>1007</v>
      </c>
      <c r="C64" s="19" t="s">
        <v>942</v>
      </c>
      <c r="D64" s="342">
        <v>105345</v>
      </c>
      <c r="E64" s="316" t="s">
        <v>1008</v>
      </c>
      <c r="F64" s="281">
        <v>52.5</v>
      </c>
      <c r="G64" s="274">
        <v>50</v>
      </c>
      <c r="H64" s="275">
        <v>2.5</v>
      </c>
      <c r="I64" s="277"/>
      <c r="J64" s="18">
        <f>SUM(G64+H64+I64)</f>
        <v>52.5</v>
      </c>
      <c r="K64" s="35"/>
      <c r="L64" s="36">
        <f>+(F64-((SUM(J64+K64))))</f>
        <v>0</v>
      </c>
      <c r="M64" s="215"/>
      <c r="N64" s="40"/>
    </row>
    <row r="65" spans="1:14" ht="15.75">
      <c r="A65" s="11">
        <f t="shared" si="2"/>
        <v>59</v>
      </c>
      <c r="B65" s="19" t="s">
        <v>983</v>
      </c>
      <c r="C65" s="19" t="s">
        <v>942</v>
      </c>
      <c r="D65" s="19">
        <v>105182</v>
      </c>
      <c r="E65" s="356" t="s">
        <v>984</v>
      </c>
      <c r="F65" s="14">
        <v>52.5</v>
      </c>
      <c r="G65" s="20">
        <v>50</v>
      </c>
      <c r="H65" s="21">
        <v>2.5</v>
      </c>
      <c r="I65" s="14"/>
      <c r="J65" s="18">
        <f>SUM(G65+H65+I65)</f>
        <v>52.5</v>
      </c>
      <c r="K65" s="32"/>
      <c r="L65" s="33">
        <f t="shared" ref="L65" si="3">+(F65-((SUM(J65+K65))))</f>
        <v>0</v>
      </c>
      <c r="M65" s="37"/>
    </row>
    <row r="66" spans="1:14" ht="15.75">
      <c r="A66" s="11">
        <f t="shared" si="2"/>
        <v>60</v>
      </c>
      <c r="B66" s="116" t="s">
        <v>584</v>
      </c>
      <c r="C66" s="19" t="s">
        <v>942</v>
      </c>
      <c r="D66" s="19">
        <v>101867</v>
      </c>
      <c r="E66" s="356" t="s">
        <v>585</v>
      </c>
      <c r="F66" s="14">
        <v>52.5</v>
      </c>
      <c r="G66" s="74">
        <v>50</v>
      </c>
      <c r="H66" s="54">
        <v>2.5</v>
      </c>
      <c r="I66" s="14"/>
      <c r="J66" s="18">
        <f t="shared" si="0"/>
        <v>52.5</v>
      </c>
      <c r="K66" s="32"/>
      <c r="L66" s="33">
        <f t="shared" si="1"/>
        <v>0</v>
      </c>
      <c r="M66" s="215"/>
      <c r="N66" s="6"/>
    </row>
    <row r="67" spans="1:14" ht="15.75">
      <c r="A67" s="11">
        <f t="shared" si="2"/>
        <v>61</v>
      </c>
      <c r="B67" s="19" t="s">
        <v>586</v>
      </c>
      <c r="C67" s="19" t="s">
        <v>942</v>
      </c>
      <c r="D67" s="19">
        <v>101890</v>
      </c>
      <c r="E67" s="356" t="s">
        <v>587</v>
      </c>
      <c r="F67" s="14">
        <v>52.5</v>
      </c>
      <c r="G67" s="74">
        <v>50</v>
      </c>
      <c r="H67" s="54">
        <v>2.5</v>
      </c>
      <c r="I67" s="14"/>
      <c r="J67" s="18">
        <f t="shared" si="0"/>
        <v>52.5</v>
      </c>
      <c r="K67" s="32"/>
      <c r="L67" s="33">
        <f>+(F67-((SUM(J67+K67))))</f>
        <v>0</v>
      </c>
      <c r="M67" s="215"/>
      <c r="N67" s="6"/>
    </row>
    <row r="68" spans="1:14" ht="15.75">
      <c r="A68" s="11">
        <f t="shared" si="2"/>
        <v>62</v>
      </c>
      <c r="B68" s="116" t="s">
        <v>588</v>
      </c>
      <c r="C68" s="19" t="s">
        <v>942</v>
      </c>
      <c r="D68" s="19">
        <v>101912</v>
      </c>
      <c r="E68" s="356" t="s">
        <v>589</v>
      </c>
      <c r="F68" s="14">
        <v>52.5</v>
      </c>
      <c r="G68" s="74">
        <v>50</v>
      </c>
      <c r="H68" s="54">
        <v>2.5</v>
      </c>
      <c r="I68" s="14"/>
      <c r="J68" s="18">
        <f t="shared" si="0"/>
        <v>52.5</v>
      </c>
      <c r="K68" s="32"/>
      <c r="L68" s="33">
        <f>+(F68-((SUM(J68+K68))))</f>
        <v>0</v>
      </c>
      <c r="M68" s="37"/>
      <c r="N68" s="6"/>
    </row>
    <row r="69" spans="1:14" ht="15" customHeight="1">
      <c r="A69" s="11">
        <f t="shared" si="2"/>
        <v>63</v>
      </c>
      <c r="B69" s="132" t="s">
        <v>590</v>
      </c>
      <c r="C69" s="19" t="s">
        <v>942</v>
      </c>
      <c r="D69" s="19">
        <v>101909</v>
      </c>
      <c r="E69" s="356" t="s">
        <v>591</v>
      </c>
      <c r="F69" s="14">
        <v>52.5</v>
      </c>
      <c r="G69" s="238">
        <v>50</v>
      </c>
      <c r="H69" s="131">
        <v>2.5</v>
      </c>
      <c r="I69" s="14"/>
      <c r="J69" s="18">
        <f t="shared" si="0"/>
        <v>52.5</v>
      </c>
      <c r="K69" s="32"/>
      <c r="L69" s="33">
        <f>+(F69-((SUM(J69+K69))))</f>
        <v>0</v>
      </c>
      <c r="M69" s="215"/>
      <c r="N69" s="6"/>
    </row>
    <row r="70" spans="1:14" ht="15.75">
      <c r="A70" s="11">
        <f t="shared" si="2"/>
        <v>64</v>
      </c>
      <c r="B70" s="116" t="s">
        <v>592</v>
      </c>
      <c r="C70" s="19" t="s">
        <v>942</v>
      </c>
      <c r="D70" s="19">
        <v>101871</v>
      </c>
      <c r="E70" s="356" t="s">
        <v>593</v>
      </c>
      <c r="F70" s="14">
        <v>52.5</v>
      </c>
      <c r="G70" s="74">
        <v>50</v>
      </c>
      <c r="H70" s="54">
        <v>2.5</v>
      </c>
      <c r="I70" s="14"/>
      <c r="J70" s="18">
        <f t="shared" si="0"/>
        <v>52.5</v>
      </c>
      <c r="K70" s="32"/>
      <c r="L70" s="33">
        <f>+(F70-((SUM(J70+K70))))</f>
        <v>0</v>
      </c>
      <c r="M70" s="215"/>
      <c r="N70" s="6"/>
    </row>
    <row r="71" spans="1:14" ht="15.75">
      <c r="A71" s="11">
        <f t="shared" si="2"/>
        <v>65</v>
      </c>
      <c r="B71" s="19" t="s">
        <v>50</v>
      </c>
      <c r="C71" s="19"/>
      <c r="D71" s="19"/>
      <c r="E71" s="356" t="s">
        <v>594</v>
      </c>
      <c r="F71" s="14">
        <v>52.5</v>
      </c>
      <c r="G71" s="53">
        <v>50</v>
      </c>
      <c r="H71" s="54">
        <v>2.5</v>
      </c>
      <c r="I71" s="249"/>
      <c r="J71" s="18">
        <f t="shared" ref="J71:J149" si="4">SUM(G71+H71+I71)</f>
        <v>52.5</v>
      </c>
      <c r="K71" s="32"/>
      <c r="L71" s="33">
        <f t="shared" ref="L71:L107" si="5">+(F71-((SUM(J71+K71))))</f>
        <v>0</v>
      </c>
      <c r="M71" s="215"/>
      <c r="N71" s="6"/>
    </row>
    <row r="72" spans="1:14" ht="15.75">
      <c r="A72" s="11">
        <f t="shared" si="2"/>
        <v>66</v>
      </c>
      <c r="B72" s="19" t="s">
        <v>8</v>
      </c>
      <c r="C72" s="30"/>
      <c r="D72" s="30"/>
      <c r="E72" s="315" t="s">
        <v>10</v>
      </c>
      <c r="F72" s="14">
        <v>52.5</v>
      </c>
      <c r="G72" s="20">
        <v>50</v>
      </c>
      <c r="H72" s="21">
        <v>2.5</v>
      </c>
      <c r="I72" s="14"/>
      <c r="J72" s="18">
        <f t="shared" si="4"/>
        <v>52.5</v>
      </c>
      <c r="K72" s="32"/>
      <c r="L72" s="33">
        <f t="shared" si="5"/>
        <v>0</v>
      </c>
      <c r="M72" s="215"/>
      <c r="N72" s="6"/>
    </row>
    <row r="73" spans="1:14" ht="15.75">
      <c r="A73" s="11">
        <f t="shared" ref="A73:A136" si="6">1+A72</f>
        <v>67</v>
      </c>
      <c r="B73" s="19" t="s">
        <v>595</v>
      </c>
      <c r="C73" s="19"/>
      <c r="D73" s="19"/>
      <c r="E73" s="356" t="s">
        <v>596</v>
      </c>
      <c r="F73" s="14">
        <v>0</v>
      </c>
      <c r="G73" s="74">
        <v>0</v>
      </c>
      <c r="H73" s="54">
        <v>0</v>
      </c>
      <c r="I73" s="14"/>
      <c r="J73" s="18">
        <f t="shared" si="4"/>
        <v>0</v>
      </c>
      <c r="K73" s="32"/>
      <c r="L73" s="33">
        <f t="shared" si="5"/>
        <v>0</v>
      </c>
      <c r="M73" s="215"/>
      <c r="N73" s="6"/>
    </row>
    <row r="74" spans="1:14" ht="15.75">
      <c r="A74" s="11">
        <f t="shared" si="6"/>
        <v>68</v>
      </c>
      <c r="B74" s="116" t="s">
        <v>599</v>
      </c>
      <c r="C74" s="19"/>
      <c r="D74" s="19"/>
      <c r="E74" s="356" t="s">
        <v>600</v>
      </c>
      <c r="F74" s="14">
        <v>52.5</v>
      </c>
      <c r="G74" s="74">
        <v>50</v>
      </c>
      <c r="H74" s="54">
        <v>2.5</v>
      </c>
      <c r="I74" s="14"/>
      <c r="J74" s="18">
        <f t="shared" si="4"/>
        <v>52.5</v>
      </c>
      <c r="K74" s="32"/>
      <c r="L74" s="33">
        <f t="shared" si="5"/>
        <v>0</v>
      </c>
      <c r="M74" s="215"/>
      <c r="N74" s="6"/>
    </row>
    <row r="75" spans="1:14" ht="15.75">
      <c r="A75" s="11">
        <f t="shared" si="6"/>
        <v>69</v>
      </c>
      <c r="B75" s="19" t="s">
        <v>601</v>
      </c>
      <c r="C75" s="19"/>
      <c r="D75" s="19"/>
      <c r="E75" s="354" t="s">
        <v>602</v>
      </c>
      <c r="F75" s="14">
        <v>52.5</v>
      </c>
      <c r="G75" s="53">
        <v>50</v>
      </c>
      <c r="H75" s="54">
        <v>2.5</v>
      </c>
      <c r="I75" s="14"/>
      <c r="J75" s="18">
        <f t="shared" si="4"/>
        <v>52.5</v>
      </c>
      <c r="K75" s="32"/>
      <c r="L75" s="33">
        <f t="shared" si="5"/>
        <v>0</v>
      </c>
      <c r="M75" s="215"/>
      <c r="N75" s="6"/>
    </row>
    <row r="76" spans="1:14" ht="15.75">
      <c r="A76" s="11">
        <f t="shared" si="6"/>
        <v>70</v>
      </c>
      <c r="B76" s="116" t="s">
        <v>603</v>
      </c>
      <c r="C76" s="19" t="s">
        <v>942</v>
      </c>
      <c r="D76" s="19">
        <v>101863</v>
      </c>
      <c r="E76" s="356" t="s">
        <v>604</v>
      </c>
      <c r="F76" s="14">
        <v>52.5</v>
      </c>
      <c r="G76" s="74">
        <v>50</v>
      </c>
      <c r="H76" s="54">
        <v>2.5</v>
      </c>
      <c r="I76" s="14"/>
      <c r="J76" s="18">
        <f t="shared" si="4"/>
        <v>52.5</v>
      </c>
      <c r="K76" s="32"/>
      <c r="L76" s="33">
        <f t="shared" si="5"/>
        <v>0</v>
      </c>
      <c r="M76" s="215"/>
      <c r="N76" s="6"/>
    </row>
    <row r="77" spans="1:14" ht="15.75">
      <c r="A77" s="11">
        <f t="shared" si="6"/>
        <v>71</v>
      </c>
      <c r="B77" s="19" t="s">
        <v>66</v>
      </c>
      <c r="C77" s="19" t="s">
        <v>942</v>
      </c>
      <c r="D77" s="19">
        <v>105120</v>
      </c>
      <c r="E77" s="356" t="s">
        <v>605</v>
      </c>
      <c r="F77" s="14">
        <v>99.92</v>
      </c>
      <c r="G77" s="53">
        <v>95.16</v>
      </c>
      <c r="H77" s="54">
        <v>4.76</v>
      </c>
      <c r="I77" s="14"/>
      <c r="J77" s="18">
        <f t="shared" si="4"/>
        <v>99.92</v>
      </c>
      <c r="K77" s="32"/>
      <c r="L77" s="33">
        <f t="shared" si="5"/>
        <v>0</v>
      </c>
      <c r="M77" s="215"/>
      <c r="N77" s="6"/>
    </row>
    <row r="78" spans="1:14" ht="15.75">
      <c r="A78" s="11">
        <f t="shared" si="6"/>
        <v>72</v>
      </c>
      <c r="B78" s="19" t="s">
        <v>547</v>
      </c>
      <c r="C78" s="19" t="s">
        <v>942</v>
      </c>
      <c r="D78" s="19">
        <v>101567</v>
      </c>
      <c r="E78" s="356" t="s">
        <v>548</v>
      </c>
      <c r="F78" s="14">
        <v>52.5</v>
      </c>
      <c r="G78" s="20">
        <v>50</v>
      </c>
      <c r="H78" s="21">
        <v>2.5</v>
      </c>
      <c r="I78" s="14"/>
      <c r="J78" s="18">
        <f>SUM(G78+H78+I78)</f>
        <v>52.5</v>
      </c>
      <c r="K78" s="32"/>
      <c r="L78" s="33">
        <f>+(F78-((SUM(J78+K78))))</f>
        <v>0</v>
      </c>
      <c r="M78" s="37"/>
    </row>
    <row r="79" spans="1:14" ht="15.75">
      <c r="A79" s="11">
        <f t="shared" si="6"/>
        <v>73</v>
      </c>
      <c r="B79" s="19" t="s">
        <v>549</v>
      </c>
      <c r="C79" s="19" t="s">
        <v>942</v>
      </c>
      <c r="D79" s="19">
        <v>101739</v>
      </c>
      <c r="E79" s="355" t="s">
        <v>550</v>
      </c>
      <c r="F79" s="14">
        <v>52.5</v>
      </c>
      <c r="G79" s="74">
        <v>50</v>
      </c>
      <c r="H79" s="75">
        <v>2.5</v>
      </c>
      <c r="I79" s="14"/>
      <c r="J79" s="18">
        <f>SUM(G79+H79+I79)</f>
        <v>52.5</v>
      </c>
      <c r="K79" s="32"/>
      <c r="L79" s="33">
        <f>+(F79-((SUM(J79+K79))))</f>
        <v>0</v>
      </c>
      <c r="M79" s="215"/>
    </row>
    <row r="80" spans="1:14" ht="15.75">
      <c r="A80" s="11">
        <f t="shared" si="6"/>
        <v>74</v>
      </c>
      <c r="B80" s="19" t="s">
        <v>551</v>
      </c>
      <c r="C80" s="19" t="s">
        <v>942</v>
      </c>
      <c r="D80" s="19">
        <v>101872</v>
      </c>
      <c r="E80" s="355" t="s">
        <v>552</v>
      </c>
      <c r="F80" s="14">
        <v>52.5</v>
      </c>
      <c r="G80" s="74">
        <v>50</v>
      </c>
      <c r="H80" s="75">
        <v>2.5</v>
      </c>
      <c r="I80" s="14"/>
      <c r="J80" s="18">
        <f>SUM(G80+H80+I80)</f>
        <v>52.5</v>
      </c>
      <c r="K80" s="32"/>
      <c r="L80" s="33">
        <f>+(F80-((SUM(J80+K80))))</f>
        <v>0</v>
      </c>
      <c r="M80" s="37"/>
    </row>
    <row r="81" spans="1:14" ht="15.75">
      <c r="A81" s="11">
        <f t="shared" si="6"/>
        <v>75</v>
      </c>
      <c r="B81" s="19" t="s">
        <v>553</v>
      </c>
      <c r="C81" s="19" t="s">
        <v>942</v>
      </c>
      <c r="D81" s="19">
        <v>101780</v>
      </c>
      <c r="E81" s="355" t="s">
        <v>554</v>
      </c>
      <c r="F81" s="14">
        <v>52.5</v>
      </c>
      <c r="G81" s="74">
        <v>50</v>
      </c>
      <c r="H81" s="75">
        <v>2.5</v>
      </c>
      <c r="I81" s="14"/>
      <c r="J81" s="18">
        <f>SUM(G81+H81+I81)</f>
        <v>52.5</v>
      </c>
      <c r="K81" s="32"/>
      <c r="L81" s="33">
        <f>+(F81-((SUM(J81+K81))))</f>
        <v>0</v>
      </c>
      <c r="M81" s="37"/>
    </row>
    <row r="82" spans="1:14" ht="15.75">
      <c r="A82" s="11">
        <f t="shared" si="6"/>
        <v>76</v>
      </c>
      <c r="B82" s="116" t="s">
        <v>555</v>
      </c>
      <c r="C82" s="19" t="s">
        <v>942</v>
      </c>
      <c r="D82" s="19">
        <v>105063</v>
      </c>
      <c r="E82" s="356" t="s">
        <v>556</v>
      </c>
      <c r="F82" s="14">
        <v>52.5</v>
      </c>
      <c r="G82" s="74">
        <v>50</v>
      </c>
      <c r="H82" s="54">
        <v>2.5</v>
      </c>
      <c r="I82" s="14"/>
      <c r="J82" s="18">
        <f>SUM(G82+H82+I82)</f>
        <v>52.5</v>
      </c>
      <c r="K82" s="32"/>
      <c r="L82" s="33">
        <f>+(F82-((SUM(J82+K82))))</f>
        <v>0</v>
      </c>
      <c r="M82" s="215"/>
    </row>
    <row r="83" spans="1:14" ht="15.75">
      <c r="A83" s="11">
        <f t="shared" si="6"/>
        <v>77</v>
      </c>
      <c r="B83" s="19" t="s">
        <v>606</v>
      </c>
      <c r="C83" s="19" t="s">
        <v>942</v>
      </c>
      <c r="D83" s="19">
        <v>11111</v>
      </c>
      <c r="E83" s="356" t="s">
        <v>607</v>
      </c>
      <c r="F83" s="14">
        <v>52.5</v>
      </c>
      <c r="G83" s="20">
        <v>50</v>
      </c>
      <c r="H83" s="21">
        <v>2.5</v>
      </c>
      <c r="I83" s="14"/>
      <c r="J83" s="18">
        <f t="shared" si="4"/>
        <v>52.5</v>
      </c>
      <c r="K83" s="32"/>
      <c r="L83" s="33">
        <f t="shared" si="5"/>
        <v>0</v>
      </c>
      <c r="M83" s="215"/>
      <c r="N83" s="6"/>
    </row>
    <row r="84" spans="1:14" ht="15.75">
      <c r="A84" s="11">
        <f t="shared" si="6"/>
        <v>78</v>
      </c>
      <c r="B84" s="19" t="s">
        <v>608</v>
      </c>
      <c r="C84" s="19" t="s">
        <v>942</v>
      </c>
      <c r="D84" s="19">
        <v>101012</v>
      </c>
      <c r="E84" s="356" t="s">
        <v>167</v>
      </c>
      <c r="F84" s="14">
        <v>52.5</v>
      </c>
      <c r="G84" s="20">
        <v>50</v>
      </c>
      <c r="H84" s="21">
        <v>2.5</v>
      </c>
      <c r="I84" s="14"/>
      <c r="J84" s="18">
        <f t="shared" si="4"/>
        <v>52.5</v>
      </c>
      <c r="K84" s="32"/>
      <c r="L84" s="33">
        <f t="shared" si="5"/>
        <v>0</v>
      </c>
      <c r="M84" s="215"/>
      <c r="N84" s="6"/>
    </row>
    <row r="85" spans="1:14" ht="15.75">
      <c r="A85" s="11">
        <f t="shared" si="6"/>
        <v>79</v>
      </c>
      <c r="B85" s="19" t="s">
        <v>609</v>
      </c>
      <c r="C85" s="19" t="s">
        <v>942</v>
      </c>
      <c r="D85" s="19">
        <v>105349</v>
      </c>
      <c r="E85" s="356" t="s">
        <v>955</v>
      </c>
      <c r="F85" s="14">
        <v>52.5</v>
      </c>
      <c r="G85" s="74">
        <v>50</v>
      </c>
      <c r="H85" s="75">
        <v>2.5</v>
      </c>
      <c r="I85" s="14"/>
      <c r="J85" s="18">
        <f t="shared" si="4"/>
        <v>52.5</v>
      </c>
      <c r="K85" s="32"/>
      <c r="L85" s="33">
        <f t="shared" si="5"/>
        <v>0</v>
      </c>
      <c r="M85" s="215"/>
      <c r="N85" s="6"/>
    </row>
    <row r="86" spans="1:14" ht="15.75">
      <c r="A86" s="11">
        <f t="shared" si="6"/>
        <v>80</v>
      </c>
      <c r="B86" s="19" t="s">
        <v>410</v>
      </c>
      <c r="C86" s="19" t="s">
        <v>942</v>
      </c>
      <c r="D86" s="19">
        <v>105525</v>
      </c>
      <c r="E86" s="355" t="s">
        <v>1038</v>
      </c>
      <c r="F86" s="14">
        <v>52.5</v>
      </c>
      <c r="G86" s="20">
        <v>50</v>
      </c>
      <c r="H86" s="75">
        <v>2.5</v>
      </c>
      <c r="I86" s="14"/>
      <c r="J86" s="18">
        <f t="shared" si="4"/>
        <v>52.5</v>
      </c>
      <c r="K86" s="32"/>
      <c r="L86" s="33">
        <f t="shared" si="5"/>
        <v>0</v>
      </c>
      <c r="M86" s="215"/>
      <c r="N86" s="6"/>
    </row>
    <row r="87" spans="1:14" ht="15.75">
      <c r="A87" s="11">
        <f t="shared" si="6"/>
        <v>81</v>
      </c>
      <c r="B87" s="116" t="s">
        <v>613</v>
      </c>
      <c r="C87" s="19" t="s">
        <v>942</v>
      </c>
      <c r="D87" s="19">
        <v>105340</v>
      </c>
      <c r="E87" s="356" t="s">
        <v>957</v>
      </c>
      <c r="F87" s="14">
        <v>52.5</v>
      </c>
      <c r="G87" s="53">
        <v>50</v>
      </c>
      <c r="H87" s="54">
        <v>2.5</v>
      </c>
      <c r="I87" s="14"/>
      <c r="J87" s="18">
        <f t="shared" si="4"/>
        <v>52.5</v>
      </c>
      <c r="K87" s="32"/>
      <c r="L87" s="33">
        <f t="shared" si="5"/>
        <v>0</v>
      </c>
      <c r="M87" s="37"/>
      <c r="N87" s="6"/>
    </row>
    <row r="88" spans="1:14" ht="15.75">
      <c r="A88" s="11">
        <f t="shared" si="6"/>
        <v>82</v>
      </c>
      <c r="B88" s="19" t="s">
        <v>615</v>
      </c>
      <c r="C88" s="19" t="s">
        <v>942</v>
      </c>
      <c r="D88" s="19">
        <v>101820</v>
      </c>
      <c r="E88" s="356" t="s">
        <v>616</v>
      </c>
      <c r="F88" s="14">
        <v>52.5</v>
      </c>
      <c r="G88" s="74">
        <v>50</v>
      </c>
      <c r="H88" s="54">
        <v>2.5</v>
      </c>
      <c r="I88" s="14"/>
      <c r="J88" s="18">
        <f t="shared" si="4"/>
        <v>52.5</v>
      </c>
      <c r="K88" s="32"/>
      <c r="L88" s="33">
        <f t="shared" si="5"/>
        <v>0</v>
      </c>
      <c r="M88" s="215"/>
      <c r="N88" s="6"/>
    </row>
    <row r="89" spans="1:14" ht="15.75">
      <c r="A89" s="11">
        <f t="shared" si="6"/>
        <v>83</v>
      </c>
      <c r="B89" s="19" t="s">
        <v>617</v>
      </c>
      <c r="C89" s="19" t="s">
        <v>942</v>
      </c>
      <c r="D89" s="19">
        <v>101504</v>
      </c>
      <c r="E89" s="356" t="s">
        <v>618</v>
      </c>
      <c r="F89" s="14">
        <v>105</v>
      </c>
      <c r="G89" s="74">
        <v>100</v>
      </c>
      <c r="H89" s="75">
        <v>5</v>
      </c>
      <c r="I89" s="14"/>
      <c r="J89" s="18">
        <f t="shared" si="4"/>
        <v>105</v>
      </c>
      <c r="K89" s="32"/>
      <c r="L89" s="33">
        <f>+(F89-((SUM(J89+K89))))</f>
        <v>0</v>
      </c>
      <c r="M89" s="215"/>
      <c r="N89" s="6"/>
    </row>
    <row r="90" spans="1:14" ht="15.75">
      <c r="A90" s="11">
        <f t="shared" si="6"/>
        <v>84</v>
      </c>
      <c r="B90" s="19" t="s">
        <v>619</v>
      </c>
      <c r="C90" s="19" t="s">
        <v>942</v>
      </c>
      <c r="D90" s="19">
        <v>101418</v>
      </c>
      <c r="E90" s="356" t="s">
        <v>620</v>
      </c>
      <c r="F90" s="14">
        <v>154.21</v>
      </c>
      <c r="G90" s="74">
        <v>100</v>
      </c>
      <c r="H90" s="75">
        <v>5</v>
      </c>
      <c r="I90" s="14">
        <v>49.21</v>
      </c>
      <c r="J90" s="18">
        <f t="shared" si="4"/>
        <v>154.21</v>
      </c>
      <c r="K90" s="32"/>
      <c r="L90" s="33">
        <f t="shared" si="5"/>
        <v>0</v>
      </c>
      <c r="M90" s="215"/>
      <c r="N90" s="6"/>
    </row>
    <row r="91" spans="1:14" ht="15.75">
      <c r="A91" s="11">
        <f t="shared" si="6"/>
        <v>85</v>
      </c>
      <c r="B91" s="19" t="s">
        <v>414</v>
      </c>
      <c r="C91" s="19" t="s">
        <v>942</v>
      </c>
      <c r="D91" s="19">
        <v>101701</v>
      </c>
      <c r="E91" s="356" t="s">
        <v>621</v>
      </c>
      <c r="F91" s="14">
        <v>52.5</v>
      </c>
      <c r="G91" s="74">
        <v>50</v>
      </c>
      <c r="H91" s="75">
        <v>2.5</v>
      </c>
      <c r="I91" s="248"/>
      <c r="J91" s="18">
        <f t="shared" si="4"/>
        <v>52.5</v>
      </c>
      <c r="K91" s="32"/>
      <c r="L91" s="33">
        <f t="shared" si="5"/>
        <v>0</v>
      </c>
      <c r="M91" s="215"/>
      <c r="N91" s="6"/>
    </row>
    <row r="92" spans="1:14" ht="15.75">
      <c r="A92" s="11">
        <f t="shared" si="6"/>
        <v>86</v>
      </c>
      <c r="B92" s="333" t="s">
        <v>1025</v>
      </c>
      <c r="C92" s="19" t="s">
        <v>942</v>
      </c>
      <c r="D92" s="19">
        <v>101681</v>
      </c>
      <c r="E92" s="316" t="s">
        <v>1026</v>
      </c>
      <c r="F92" s="281">
        <v>52.5</v>
      </c>
      <c r="G92" s="274">
        <v>50</v>
      </c>
      <c r="H92" s="275">
        <v>2.5</v>
      </c>
      <c r="I92" s="277"/>
      <c r="J92" s="18">
        <f>SUM(G92+H92+I92)</f>
        <v>52.5</v>
      </c>
      <c r="K92" s="35"/>
      <c r="L92" s="36">
        <f>+(F92-((SUM(J92+K92))))</f>
        <v>0</v>
      </c>
      <c r="M92" s="215"/>
      <c r="N92" s="195"/>
    </row>
    <row r="93" spans="1:14" ht="15.75">
      <c r="A93" s="11">
        <f t="shared" si="6"/>
        <v>87</v>
      </c>
      <c r="B93" s="19" t="s">
        <v>622</v>
      </c>
      <c r="C93" s="19" t="s">
        <v>942</v>
      </c>
      <c r="D93" s="19">
        <v>101708</v>
      </c>
      <c r="E93" s="356" t="s">
        <v>623</v>
      </c>
      <c r="F93" s="14">
        <v>52.5</v>
      </c>
      <c r="G93" s="74">
        <v>50</v>
      </c>
      <c r="H93" s="75">
        <v>2.5</v>
      </c>
      <c r="I93" s="14"/>
      <c r="J93" s="18">
        <f t="shared" si="4"/>
        <v>52.5</v>
      </c>
      <c r="K93" s="32"/>
      <c r="L93" s="33">
        <f>+(F93-((SUM(J93+K93))))</f>
        <v>0</v>
      </c>
      <c r="M93" s="37"/>
      <c r="N93" s="6"/>
    </row>
    <row r="94" spans="1:14" ht="15.75">
      <c r="A94" s="11">
        <f t="shared" si="6"/>
        <v>88</v>
      </c>
      <c r="B94" s="19" t="s">
        <v>908</v>
      </c>
      <c r="C94" s="19" t="s">
        <v>942</v>
      </c>
      <c r="D94" s="19">
        <v>101888</v>
      </c>
      <c r="E94" s="356" t="s">
        <v>958</v>
      </c>
      <c r="F94" s="14">
        <v>52.5</v>
      </c>
      <c r="G94" s="74">
        <v>50</v>
      </c>
      <c r="H94" s="54">
        <v>2.5</v>
      </c>
      <c r="I94" s="14"/>
      <c r="J94" s="18">
        <f t="shared" si="4"/>
        <v>52.5</v>
      </c>
      <c r="K94" s="32"/>
      <c r="L94" s="33">
        <f t="shared" ref="L94:L95" si="7">+(F94-((SUM(J94+K94))))</f>
        <v>0</v>
      </c>
      <c r="M94" s="218"/>
      <c r="N94" s="6"/>
    </row>
    <row r="95" spans="1:14" ht="15.75">
      <c r="A95" s="11">
        <f t="shared" si="6"/>
        <v>89</v>
      </c>
      <c r="B95" s="19" t="s">
        <v>959</v>
      </c>
      <c r="C95" s="19" t="s">
        <v>942</v>
      </c>
      <c r="D95" s="19">
        <v>101804</v>
      </c>
      <c r="E95" s="356" t="s">
        <v>625</v>
      </c>
      <c r="F95" s="14">
        <v>105</v>
      </c>
      <c r="G95" s="20">
        <v>100</v>
      </c>
      <c r="H95" s="21">
        <v>5</v>
      </c>
      <c r="I95" s="14"/>
      <c r="J95" s="18">
        <f>SUM(G95+H95+I95)</f>
        <v>105</v>
      </c>
      <c r="K95" s="32"/>
      <c r="L95" s="33">
        <f t="shared" si="7"/>
        <v>0</v>
      </c>
      <c r="M95" s="218"/>
      <c r="N95" s="6"/>
    </row>
    <row r="96" spans="1:14" ht="15.75">
      <c r="A96" s="11">
        <f t="shared" si="6"/>
        <v>90</v>
      </c>
      <c r="B96" s="19" t="s">
        <v>626</v>
      </c>
      <c r="C96" s="19" t="s">
        <v>942</v>
      </c>
      <c r="D96" s="19">
        <v>101379</v>
      </c>
      <c r="E96" s="356" t="s">
        <v>144</v>
      </c>
      <c r="F96" s="14">
        <v>56.34</v>
      </c>
      <c r="G96" s="20">
        <v>50</v>
      </c>
      <c r="H96" s="75">
        <v>2.5</v>
      </c>
      <c r="I96" s="14">
        <v>3.84</v>
      </c>
      <c r="J96" s="18">
        <f t="shared" si="4"/>
        <v>56.34</v>
      </c>
      <c r="K96" s="32"/>
      <c r="L96" s="33">
        <f t="shared" si="5"/>
        <v>0</v>
      </c>
      <c r="M96" s="215"/>
      <c r="N96" s="6"/>
    </row>
    <row r="97" spans="1:14" ht="15.75">
      <c r="A97" s="11">
        <f t="shared" si="6"/>
        <v>91</v>
      </c>
      <c r="B97" s="30" t="s">
        <v>572</v>
      </c>
      <c r="C97" s="30"/>
      <c r="D97" s="30">
        <v>105122</v>
      </c>
      <c r="E97" s="315" t="s">
        <v>953</v>
      </c>
      <c r="F97" s="14">
        <v>52.5</v>
      </c>
      <c r="G97" s="74">
        <v>50</v>
      </c>
      <c r="H97" s="75">
        <v>2.5</v>
      </c>
      <c r="I97" s="249"/>
      <c r="J97" s="18">
        <f>SUM(G97+H97+I97)</f>
        <v>52.5</v>
      </c>
      <c r="K97" s="35"/>
      <c r="L97" s="36">
        <f>+(F97-((SUM(J97+K97))))</f>
        <v>0</v>
      </c>
      <c r="M97" s="215"/>
      <c r="N97" s="40"/>
    </row>
    <row r="98" spans="1:14" ht="15.75">
      <c r="A98" s="11">
        <f t="shared" si="6"/>
        <v>92</v>
      </c>
      <c r="B98" s="116" t="s">
        <v>627</v>
      </c>
      <c r="C98" s="19"/>
      <c r="D98" s="19"/>
      <c r="E98" s="355" t="s">
        <v>628</v>
      </c>
      <c r="F98" s="14">
        <v>52.5</v>
      </c>
      <c r="G98" s="74">
        <v>50</v>
      </c>
      <c r="H98" s="54">
        <v>2.5</v>
      </c>
      <c r="I98" s="14"/>
      <c r="J98" s="18">
        <f t="shared" si="4"/>
        <v>52.5</v>
      </c>
      <c r="K98" s="32"/>
      <c r="L98" s="33">
        <f>+(F98-((SUM(J98+K98))))</f>
        <v>0</v>
      </c>
      <c r="M98" s="215"/>
      <c r="N98" s="59" t="s">
        <v>525</v>
      </c>
    </row>
    <row r="99" spans="1:14" ht="15.75">
      <c r="A99" s="11">
        <f t="shared" si="6"/>
        <v>93</v>
      </c>
      <c r="B99" s="19" t="s">
        <v>629</v>
      </c>
      <c r="C99" s="19"/>
      <c r="D99" s="19"/>
      <c r="E99" s="355" t="s">
        <v>630</v>
      </c>
      <c r="F99" s="14">
        <v>52.5</v>
      </c>
      <c r="G99" s="74">
        <v>50</v>
      </c>
      <c r="H99" s="75">
        <v>2.5</v>
      </c>
      <c r="I99" s="14"/>
      <c r="J99" s="18">
        <f t="shared" si="4"/>
        <v>52.5</v>
      </c>
      <c r="K99" s="32"/>
      <c r="L99" s="33">
        <f t="shared" si="5"/>
        <v>0</v>
      </c>
      <c r="M99" s="215"/>
      <c r="N99" s="60" t="s">
        <v>79</v>
      </c>
    </row>
    <row r="100" spans="1:14" ht="15.75">
      <c r="A100" s="11">
        <f t="shared" si="6"/>
        <v>94</v>
      </c>
      <c r="B100" s="30" t="s">
        <v>633</v>
      </c>
      <c r="C100" s="19" t="s">
        <v>942</v>
      </c>
      <c r="D100" s="19">
        <v>101410</v>
      </c>
      <c r="E100" s="359" t="s">
        <v>634</v>
      </c>
      <c r="F100" s="14">
        <v>105</v>
      </c>
      <c r="G100" s="74">
        <v>100</v>
      </c>
      <c r="H100" s="75">
        <v>5</v>
      </c>
      <c r="I100" s="14"/>
      <c r="J100" s="18">
        <f t="shared" si="4"/>
        <v>105</v>
      </c>
      <c r="K100" s="35"/>
      <c r="L100" s="36">
        <f>+(F100-((SUM(J100+K100))))</f>
        <v>0</v>
      </c>
      <c r="M100" s="215"/>
      <c r="N100" s="40"/>
    </row>
    <row r="101" spans="1:14" ht="15.75">
      <c r="A101" s="11">
        <f t="shared" si="6"/>
        <v>95</v>
      </c>
      <c r="B101" s="19" t="s">
        <v>635</v>
      </c>
      <c r="C101" s="19" t="s">
        <v>942</v>
      </c>
      <c r="D101" s="19">
        <v>101458</v>
      </c>
      <c r="E101" s="356" t="s">
        <v>960</v>
      </c>
      <c r="F101" s="14">
        <v>52.5</v>
      </c>
      <c r="G101" s="74">
        <v>50</v>
      </c>
      <c r="H101" s="75">
        <v>2.5</v>
      </c>
      <c r="I101" s="14"/>
      <c r="J101" s="18">
        <f t="shared" si="4"/>
        <v>52.5</v>
      </c>
      <c r="K101" s="32"/>
      <c r="L101" s="33">
        <f t="shared" si="5"/>
        <v>0</v>
      </c>
      <c r="M101" s="215"/>
      <c r="N101" s="40"/>
    </row>
    <row r="102" spans="1:14" ht="15.75">
      <c r="A102" s="11">
        <f t="shared" si="6"/>
        <v>96</v>
      </c>
      <c r="B102" s="19" t="s">
        <v>637</v>
      </c>
      <c r="C102" s="19" t="s">
        <v>942</v>
      </c>
      <c r="D102" s="19">
        <v>101018</v>
      </c>
      <c r="E102" s="356" t="s">
        <v>961</v>
      </c>
      <c r="F102" s="14">
        <v>52.5</v>
      </c>
      <c r="G102" s="74">
        <v>50</v>
      </c>
      <c r="H102" s="54">
        <v>2.5</v>
      </c>
      <c r="I102" s="14"/>
      <c r="J102" s="18">
        <f t="shared" si="4"/>
        <v>52.5</v>
      </c>
      <c r="K102" s="32"/>
      <c r="L102" s="33">
        <f t="shared" si="5"/>
        <v>0</v>
      </c>
      <c r="M102" s="215"/>
      <c r="N102" s="40"/>
    </row>
    <row r="103" spans="1:14" ht="15.75">
      <c r="A103" s="11">
        <f t="shared" si="6"/>
        <v>97</v>
      </c>
      <c r="B103" s="19" t="s">
        <v>639</v>
      </c>
      <c r="C103" s="19" t="s">
        <v>942</v>
      </c>
      <c r="D103" s="19">
        <v>101800</v>
      </c>
      <c r="E103" s="356" t="s">
        <v>640</v>
      </c>
      <c r="F103" s="14">
        <v>52.5</v>
      </c>
      <c r="G103" s="20">
        <v>50</v>
      </c>
      <c r="H103" s="21">
        <v>2.5</v>
      </c>
      <c r="I103" s="14"/>
      <c r="J103" s="18">
        <f t="shared" si="4"/>
        <v>52.5</v>
      </c>
      <c r="K103" s="32"/>
      <c r="L103" s="33">
        <f>+(F103-((SUM(J103+K103))))</f>
        <v>0</v>
      </c>
      <c r="M103" s="215"/>
      <c r="N103" s="40"/>
    </row>
    <row r="104" spans="1:14" ht="15.75">
      <c r="A104" s="11">
        <f t="shared" si="6"/>
        <v>98</v>
      </c>
      <c r="B104" s="19" t="s">
        <v>641</v>
      </c>
      <c r="C104" s="19" t="s">
        <v>942</v>
      </c>
      <c r="D104" s="19">
        <v>101606</v>
      </c>
      <c r="E104" s="355" t="s">
        <v>642</v>
      </c>
      <c r="F104" s="14">
        <v>52.5</v>
      </c>
      <c r="G104" s="74">
        <v>50</v>
      </c>
      <c r="H104" s="21">
        <v>2.5</v>
      </c>
      <c r="I104" s="14"/>
      <c r="J104" s="18">
        <f t="shared" si="4"/>
        <v>52.5</v>
      </c>
      <c r="K104" s="32"/>
      <c r="L104" s="33">
        <f>+(F104-((SUM(J104+K104))))</f>
        <v>0</v>
      </c>
      <c r="M104" s="215"/>
      <c r="N104" s="195"/>
    </row>
    <row r="105" spans="1:14" ht="15.75">
      <c r="A105" s="11">
        <f t="shared" si="6"/>
        <v>99</v>
      </c>
      <c r="B105" s="19" t="s">
        <v>643</v>
      </c>
      <c r="C105" s="19" t="s">
        <v>942</v>
      </c>
      <c r="D105" s="19">
        <v>101663</v>
      </c>
      <c r="E105" s="355" t="s">
        <v>644</v>
      </c>
      <c r="F105" s="14">
        <v>52.5</v>
      </c>
      <c r="G105" s="74">
        <v>50</v>
      </c>
      <c r="H105" s="75">
        <v>2.5</v>
      </c>
      <c r="I105" s="14"/>
      <c r="J105" s="18">
        <f t="shared" si="4"/>
        <v>52.5</v>
      </c>
      <c r="K105" s="32"/>
      <c r="L105" s="33">
        <f t="shared" si="5"/>
        <v>0</v>
      </c>
      <c r="M105" s="37"/>
      <c r="N105" s="194"/>
    </row>
    <row r="106" spans="1:14" ht="15.75">
      <c r="A106" s="11">
        <f t="shared" si="6"/>
        <v>100</v>
      </c>
      <c r="B106" s="19" t="s">
        <v>645</v>
      </c>
      <c r="C106" s="19" t="s">
        <v>942</v>
      </c>
      <c r="D106" s="19">
        <v>101716</v>
      </c>
      <c r="E106" s="356" t="s">
        <v>646</v>
      </c>
      <c r="F106" s="14">
        <v>105</v>
      </c>
      <c r="G106" s="74">
        <v>100</v>
      </c>
      <c r="H106" s="75">
        <v>5</v>
      </c>
      <c r="I106" s="14"/>
      <c r="J106" s="18">
        <f t="shared" si="4"/>
        <v>105</v>
      </c>
      <c r="K106" s="32"/>
      <c r="L106" s="36">
        <f t="shared" si="5"/>
        <v>0</v>
      </c>
      <c r="M106" s="37"/>
      <c r="N106" s="6" t="s">
        <v>539</v>
      </c>
    </row>
    <row r="107" spans="1:14" ht="15.75">
      <c r="A107" s="11">
        <f t="shared" si="6"/>
        <v>101</v>
      </c>
      <c r="B107" s="19" t="s">
        <v>647</v>
      </c>
      <c r="C107" s="19" t="s">
        <v>942</v>
      </c>
      <c r="D107" s="19">
        <v>101815</v>
      </c>
      <c r="E107" s="355" t="s">
        <v>648</v>
      </c>
      <c r="F107" s="14">
        <v>52.5</v>
      </c>
      <c r="G107" s="20">
        <v>50</v>
      </c>
      <c r="H107" s="21">
        <v>2.5</v>
      </c>
      <c r="I107" s="14"/>
      <c r="J107" s="18">
        <f t="shared" si="4"/>
        <v>52.5</v>
      </c>
      <c r="K107" s="32"/>
      <c r="L107" s="33">
        <f t="shared" si="5"/>
        <v>0</v>
      </c>
      <c r="M107" s="215"/>
      <c r="N107" s="6" t="s">
        <v>542</v>
      </c>
    </row>
    <row r="108" spans="1:14" ht="15.75">
      <c r="A108" s="11">
        <f t="shared" si="6"/>
        <v>102</v>
      </c>
      <c r="B108" s="19" t="s">
        <v>0</v>
      </c>
      <c r="C108" s="19" t="s">
        <v>942</v>
      </c>
      <c r="D108" s="19">
        <v>101623</v>
      </c>
      <c r="E108" s="356" t="s">
        <v>962</v>
      </c>
      <c r="F108" s="14">
        <v>52.5</v>
      </c>
      <c r="G108" s="74">
        <v>50</v>
      </c>
      <c r="H108" s="75">
        <v>2.5</v>
      </c>
      <c r="I108" s="14"/>
      <c r="J108" s="18">
        <f>SUM(G108+H108+I108)</f>
        <v>52.5</v>
      </c>
      <c r="K108" s="32"/>
      <c r="L108" s="36">
        <f>+(F108-((SUM(J108+K108))))</f>
        <v>0</v>
      </c>
      <c r="M108" s="215"/>
      <c r="N108" s="40"/>
    </row>
    <row r="109" spans="1:14" ht="15.75">
      <c r="A109" s="11">
        <f t="shared" si="6"/>
        <v>103</v>
      </c>
      <c r="B109" s="19" t="s">
        <v>419</v>
      </c>
      <c r="C109" s="19" t="s">
        <v>942</v>
      </c>
      <c r="D109" s="19">
        <v>105230</v>
      </c>
      <c r="E109" s="355" t="s">
        <v>963</v>
      </c>
      <c r="F109" s="14">
        <v>105</v>
      </c>
      <c r="G109" s="74">
        <v>100</v>
      </c>
      <c r="H109" s="75">
        <v>5</v>
      </c>
      <c r="I109" s="14"/>
      <c r="J109" s="18">
        <f>SUM(G109+H109+I109)</f>
        <v>105</v>
      </c>
      <c r="K109" s="32"/>
      <c r="L109" s="33">
        <f>+(F109-((SUM(J109+K109))))</f>
        <v>0</v>
      </c>
      <c r="M109" s="37"/>
      <c r="N109" s="40"/>
    </row>
    <row r="110" spans="1:14" ht="15.75">
      <c r="A110" s="11">
        <f t="shared" si="6"/>
        <v>104</v>
      </c>
      <c r="B110" s="19" t="s">
        <v>649</v>
      </c>
      <c r="C110" s="19" t="s">
        <v>942</v>
      </c>
      <c r="D110" s="19">
        <v>101803</v>
      </c>
      <c r="E110" s="356" t="s">
        <v>650</v>
      </c>
      <c r="F110" s="14">
        <v>52.5</v>
      </c>
      <c r="G110" s="74">
        <v>50</v>
      </c>
      <c r="H110" s="54">
        <v>2.5</v>
      </c>
      <c r="I110" s="14"/>
      <c r="J110" s="18">
        <f t="shared" si="4"/>
        <v>52.5</v>
      </c>
      <c r="K110" s="32"/>
      <c r="L110" s="33">
        <f t="shared" ref="L110:L199" si="8">+(F110-((SUM(J110+K110))))</f>
        <v>0</v>
      </c>
      <c r="M110" s="37"/>
      <c r="N110" s="40"/>
    </row>
    <row r="111" spans="1:14" ht="15.75">
      <c r="A111" s="11">
        <f t="shared" si="6"/>
        <v>105</v>
      </c>
      <c r="B111" s="19" t="s">
        <v>651</v>
      </c>
      <c r="C111" s="212" t="s">
        <v>942</v>
      </c>
      <c r="D111" s="19">
        <v>101793</v>
      </c>
      <c r="E111" s="355" t="s">
        <v>652</v>
      </c>
      <c r="F111" s="14">
        <v>52.5</v>
      </c>
      <c r="G111" s="74">
        <v>50</v>
      </c>
      <c r="H111" s="75">
        <v>2.5</v>
      </c>
      <c r="I111" s="14"/>
      <c r="J111" s="18">
        <f t="shared" si="4"/>
        <v>52.5</v>
      </c>
      <c r="K111" s="32"/>
      <c r="L111" s="33">
        <f t="shared" si="8"/>
        <v>0</v>
      </c>
      <c r="M111" s="215"/>
      <c r="N111" s="195"/>
    </row>
    <row r="112" spans="1:14" ht="15.75">
      <c r="A112" s="11">
        <f t="shared" si="6"/>
        <v>106</v>
      </c>
      <c r="B112" s="224" t="s">
        <v>653</v>
      </c>
      <c r="C112" s="19" t="s">
        <v>942</v>
      </c>
      <c r="D112" s="19">
        <v>101728</v>
      </c>
      <c r="E112" s="355" t="s">
        <v>654</v>
      </c>
      <c r="F112" s="14">
        <v>52.5</v>
      </c>
      <c r="G112" s="20">
        <v>50</v>
      </c>
      <c r="H112" s="21">
        <v>2.5</v>
      </c>
      <c r="I112" s="14"/>
      <c r="J112" s="18">
        <f t="shared" si="4"/>
        <v>52.5</v>
      </c>
      <c r="K112" s="32"/>
      <c r="L112" s="33">
        <f t="shared" si="8"/>
        <v>0</v>
      </c>
      <c r="M112" s="215"/>
      <c r="N112" s="194"/>
    </row>
    <row r="113" spans="1:14" ht="15.75">
      <c r="A113" s="11">
        <f t="shared" si="6"/>
        <v>107</v>
      </c>
      <c r="B113" s="19" t="s">
        <v>655</v>
      </c>
      <c r="C113" s="19" t="s">
        <v>942</v>
      </c>
      <c r="D113" s="19">
        <v>101055</v>
      </c>
      <c r="E113" s="356" t="s">
        <v>656</v>
      </c>
      <c r="F113" s="14">
        <v>52.5</v>
      </c>
      <c r="G113" s="53">
        <v>50</v>
      </c>
      <c r="H113" s="54">
        <v>2.5</v>
      </c>
      <c r="I113" s="14"/>
      <c r="J113" s="18">
        <f t="shared" si="4"/>
        <v>52.5</v>
      </c>
      <c r="K113" s="32"/>
      <c r="L113" s="33">
        <f t="shared" si="8"/>
        <v>0</v>
      </c>
      <c r="M113" s="215"/>
      <c r="N113" s="6" t="s">
        <v>557</v>
      </c>
    </row>
    <row r="114" spans="1:14" ht="15.75">
      <c r="A114" s="11">
        <f t="shared" si="6"/>
        <v>108</v>
      </c>
      <c r="B114" s="19" t="s">
        <v>902</v>
      </c>
      <c r="C114" s="19" t="s">
        <v>942</v>
      </c>
      <c r="D114" s="19">
        <v>101491</v>
      </c>
      <c r="E114" s="356" t="s">
        <v>903</v>
      </c>
      <c r="F114" s="14">
        <v>52.5</v>
      </c>
      <c r="G114" s="74">
        <v>50</v>
      </c>
      <c r="H114" s="54">
        <v>2.5</v>
      </c>
      <c r="I114" s="14"/>
      <c r="J114" s="18">
        <f>SUM(G114+H114+I114)</f>
        <v>52.5</v>
      </c>
      <c r="K114" s="32"/>
      <c r="L114" s="33">
        <f>+(F114-((SUM(J114+K114))))</f>
        <v>0</v>
      </c>
      <c r="M114" s="215"/>
      <c r="N114" s="6" t="s">
        <v>559</v>
      </c>
    </row>
    <row r="115" spans="1:14" ht="15.75">
      <c r="A115" s="11">
        <f t="shared" si="6"/>
        <v>109</v>
      </c>
      <c r="B115" s="19" t="s">
        <v>850</v>
      </c>
      <c r="C115" s="19" t="s">
        <v>942</v>
      </c>
      <c r="D115" s="19">
        <v>101730</v>
      </c>
      <c r="E115" s="355" t="s">
        <v>851</v>
      </c>
      <c r="F115" s="14">
        <v>52.5</v>
      </c>
      <c r="G115" s="20">
        <v>50</v>
      </c>
      <c r="H115" s="21">
        <v>2.5</v>
      </c>
      <c r="I115" s="62"/>
      <c r="J115" s="18">
        <f>SUM(G115+H115+I115)</f>
        <v>52.5</v>
      </c>
      <c r="K115" s="32"/>
      <c r="L115" s="33">
        <f>+(F115-((SUM(J115+K115))))</f>
        <v>0</v>
      </c>
      <c r="M115" s="37"/>
      <c r="N115" s="6"/>
    </row>
    <row r="116" spans="1:14" ht="15.75">
      <c r="A116" s="11">
        <f t="shared" si="6"/>
        <v>110</v>
      </c>
      <c r="B116" s="19" t="s">
        <v>657</v>
      </c>
      <c r="C116" s="19"/>
      <c r="D116" s="19"/>
      <c r="E116" s="356" t="s">
        <v>658</v>
      </c>
      <c r="F116" s="14">
        <v>105</v>
      </c>
      <c r="G116" s="53">
        <v>100</v>
      </c>
      <c r="H116" s="54">
        <v>5</v>
      </c>
      <c r="I116" s="14"/>
      <c r="J116" s="18">
        <f t="shared" si="4"/>
        <v>105</v>
      </c>
      <c r="K116" s="32"/>
      <c r="L116" s="33">
        <f t="shared" si="8"/>
        <v>0</v>
      </c>
      <c r="M116" s="215"/>
    </row>
    <row r="117" spans="1:14" ht="15.75">
      <c r="A117" s="11">
        <f t="shared" si="6"/>
        <v>111</v>
      </c>
      <c r="B117" s="30" t="s">
        <v>659</v>
      </c>
      <c r="C117" s="19" t="s">
        <v>942</v>
      </c>
      <c r="D117" s="19">
        <v>101600</v>
      </c>
      <c r="E117" s="315" t="s">
        <v>660</v>
      </c>
      <c r="F117" s="14">
        <v>251.25</v>
      </c>
      <c r="G117" s="74">
        <v>245</v>
      </c>
      <c r="H117" s="75">
        <v>6.25</v>
      </c>
      <c r="I117" s="249"/>
      <c r="J117" s="18">
        <f t="shared" si="4"/>
        <v>251.25</v>
      </c>
      <c r="K117" s="35"/>
      <c r="L117" s="36">
        <f t="shared" si="8"/>
        <v>0</v>
      </c>
      <c r="M117" s="215"/>
    </row>
    <row r="118" spans="1:14" ht="15.75">
      <c r="A118" s="11">
        <f t="shared" si="6"/>
        <v>112</v>
      </c>
      <c r="B118" s="19" t="s">
        <v>662</v>
      </c>
      <c r="C118" s="19" t="s">
        <v>942</v>
      </c>
      <c r="D118" s="19">
        <v>101809</v>
      </c>
      <c r="E118" s="355" t="s">
        <v>663</v>
      </c>
      <c r="F118" s="14">
        <v>560</v>
      </c>
      <c r="G118" s="74">
        <v>200</v>
      </c>
      <c r="H118" s="75">
        <v>10</v>
      </c>
      <c r="I118" s="14">
        <v>350</v>
      </c>
      <c r="J118" s="18">
        <f t="shared" si="4"/>
        <v>560</v>
      </c>
      <c r="K118" s="32"/>
      <c r="L118" s="33">
        <f t="shared" si="8"/>
        <v>0</v>
      </c>
      <c r="M118" s="215"/>
    </row>
    <row r="119" spans="1:14" ht="15.75">
      <c r="A119" s="11">
        <f t="shared" si="6"/>
        <v>113</v>
      </c>
      <c r="B119" s="30" t="s">
        <v>664</v>
      </c>
      <c r="C119" s="19" t="s">
        <v>942</v>
      </c>
      <c r="D119" s="19">
        <v>101721</v>
      </c>
      <c r="E119" s="359" t="s">
        <v>665</v>
      </c>
      <c r="F119" s="14">
        <v>105</v>
      </c>
      <c r="G119" s="74">
        <v>100</v>
      </c>
      <c r="H119" s="75">
        <v>5</v>
      </c>
      <c r="I119" s="249"/>
      <c r="J119" s="18">
        <f t="shared" si="4"/>
        <v>105</v>
      </c>
      <c r="K119" s="32"/>
      <c r="L119" s="33">
        <f>+(F119-((SUM(J119+K119))))</f>
        <v>0</v>
      </c>
      <c r="M119" s="215"/>
    </row>
    <row r="120" spans="1:14" ht="15.75">
      <c r="A120" s="11">
        <f t="shared" si="6"/>
        <v>114</v>
      </c>
      <c r="B120" s="30" t="s">
        <v>667</v>
      </c>
      <c r="C120" s="19" t="s">
        <v>942</v>
      </c>
      <c r="D120" s="212">
        <v>101571</v>
      </c>
      <c r="E120" s="359" t="s">
        <v>668</v>
      </c>
      <c r="F120" s="14">
        <v>52.5</v>
      </c>
      <c r="G120" s="26">
        <v>50</v>
      </c>
      <c r="H120" s="27">
        <v>2.5</v>
      </c>
      <c r="I120" s="249"/>
      <c r="J120" s="18">
        <f t="shared" si="4"/>
        <v>52.5</v>
      </c>
      <c r="K120" s="35"/>
      <c r="L120" s="36">
        <f t="shared" si="8"/>
        <v>0</v>
      </c>
      <c r="M120" s="215"/>
      <c r="N120" s="40"/>
    </row>
    <row r="121" spans="1:14" ht="15.75">
      <c r="A121" s="11">
        <f t="shared" si="6"/>
        <v>115</v>
      </c>
      <c r="B121" s="19" t="s">
        <v>669</v>
      </c>
      <c r="C121" s="19" t="s">
        <v>942</v>
      </c>
      <c r="D121" s="19">
        <v>101662</v>
      </c>
      <c r="E121" s="355" t="s">
        <v>262</v>
      </c>
      <c r="F121" s="14">
        <v>52.5</v>
      </c>
      <c r="G121" s="74">
        <v>50</v>
      </c>
      <c r="H121" s="75">
        <v>2.5</v>
      </c>
      <c r="I121" s="14"/>
      <c r="J121" s="18">
        <f t="shared" si="4"/>
        <v>52.5</v>
      </c>
      <c r="K121" s="32"/>
      <c r="L121" s="33">
        <f t="shared" si="8"/>
        <v>0</v>
      </c>
      <c r="M121" s="215"/>
      <c r="N121" s="40"/>
    </row>
    <row r="122" spans="1:14" ht="15.75">
      <c r="A122" s="11">
        <f t="shared" si="6"/>
        <v>116</v>
      </c>
      <c r="B122" s="30" t="s">
        <v>670</v>
      </c>
      <c r="C122" s="19" t="s">
        <v>942</v>
      </c>
      <c r="D122" s="19">
        <v>101515</v>
      </c>
      <c r="E122" s="359" t="s">
        <v>671</v>
      </c>
      <c r="F122" s="14">
        <v>210</v>
      </c>
      <c r="G122" s="26">
        <v>200</v>
      </c>
      <c r="H122" s="27">
        <v>10</v>
      </c>
      <c r="I122" s="248"/>
      <c r="J122" s="18">
        <f t="shared" si="4"/>
        <v>210</v>
      </c>
      <c r="K122" s="35"/>
      <c r="L122" s="36">
        <f t="shared" si="8"/>
        <v>0</v>
      </c>
      <c r="M122" s="37"/>
      <c r="N122" s="40"/>
    </row>
    <row r="123" spans="1:14" ht="15.75">
      <c r="A123" s="11">
        <f t="shared" si="6"/>
        <v>117</v>
      </c>
      <c r="B123" s="19" t="s">
        <v>672</v>
      </c>
      <c r="C123" s="19" t="s">
        <v>942</v>
      </c>
      <c r="D123" s="19">
        <v>101483</v>
      </c>
      <c r="E123" s="356" t="s">
        <v>140</v>
      </c>
      <c r="F123" s="14">
        <v>840</v>
      </c>
      <c r="G123" s="20">
        <v>800</v>
      </c>
      <c r="H123" s="21">
        <v>40</v>
      </c>
      <c r="I123" s="14"/>
      <c r="J123" s="18">
        <f t="shared" si="4"/>
        <v>840</v>
      </c>
      <c r="K123" s="32"/>
      <c r="L123" s="33">
        <f t="shared" si="8"/>
        <v>0</v>
      </c>
      <c r="M123" s="37"/>
      <c r="N123" s="40"/>
    </row>
    <row r="124" spans="1:14" ht="15.75">
      <c r="A124" s="11">
        <f t="shared" si="6"/>
        <v>118</v>
      </c>
      <c r="B124" s="333" t="s">
        <v>1017</v>
      </c>
      <c r="C124" s="19" t="s">
        <v>942</v>
      </c>
      <c r="D124" s="19">
        <v>105497</v>
      </c>
      <c r="E124" s="316" t="s">
        <v>1044</v>
      </c>
      <c r="F124" s="281">
        <v>105</v>
      </c>
      <c r="G124" s="274">
        <v>100</v>
      </c>
      <c r="H124" s="275">
        <v>5</v>
      </c>
      <c r="I124" s="277"/>
      <c r="J124" s="18">
        <f>SUM(G124+H124+I124)</f>
        <v>105</v>
      </c>
      <c r="K124" s="35"/>
      <c r="L124" s="36">
        <f>+(F124-((SUM(J124+K124))))</f>
        <v>0</v>
      </c>
      <c r="M124" s="215"/>
      <c r="N124" s="40"/>
    </row>
    <row r="125" spans="1:14" ht="15.75">
      <c r="A125" s="11">
        <f t="shared" si="6"/>
        <v>119</v>
      </c>
      <c r="B125" s="19" t="s">
        <v>673</v>
      </c>
      <c r="C125" s="19" t="s">
        <v>942</v>
      </c>
      <c r="D125" s="19">
        <v>101607</v>
      </c>
      <c r="E125" s="355" t="s">
        <v>674</v>
      </c>
      <c r="F125" s="14">
        <v>52.5</v>
      </c>
      <c r="G125" s="74">
        <v>50</v>
      </c>
      <c r="H125" s="75">
        <v>2.5</v>
      </c>
      <c r="I125" s="14"/>
      <c r="J125" s="18">
        <f t="shared" si="4"/>
        <v>52.5</v>
      </c>
      <c r="K125" s="32"/>
      <c r="L125" s="33">
        <f t="shared" si="8"/>
        <v>0</v>
      </c>
      <c r="M125" s="215"/>
      <c r="N125" s="6"/>
    </row>
    <row r="126" spans="1:14" ht="15.75">
      <c r="A126" s="11">
        <f t="shared" si="6"/>
        <v>120</v>
      </c>
      <c r="B126" s="19" t="s">
        <v>828</v>
      </c>
      <c r="C126" s="19" t="s">
        <v>942</v>
      </c>
      <c r="D126" s="19">
        <v>101094</v>
      </c>
      <c r="E126" s="355" t="s">
        <v>829</v>
      </c>
      <c r="F126" s="14">
        <v>316.97000000000003</v>
      </c>
      <c r="G126" s="53">
        <v>100</v>
      </c>
      <c r="H126" s="54">
        <v>5</v>
      </c>
      <c r="I126" s="248">
        <v>211.97</v>
      </c>
      <c r="J126" s="18">
        <f t="shared" si="4"/>
        <v>316.97000000000003</v>
      </c>
      <c r="K126" s="32"/>
      <c r="L126" s="33">
        <f>+(F126-((SUM(J126+K126))))</f>
        <v>0</v>
      </c>
      <c r="M126" s="37"/>
      <c r="N126" s="6"/>
    </row>
    <row r="127" spans="1:14" ht="15.75">
      <c r="A127" s="11">
        <f t="shared" si="6"/>
        <v>121</v>
      </c>
      <c r="B127" s="30" t="s">
        <v>830</v>
      </c>
      <c r="C127" s="19" t="s">
        <v>942</v>
      </c>
      <c r="D127" s="19">
        <v>101027</v>
      </c>
      <c r="E127" s="315" t="s">
        <v>290</v>
      </c>
      <c r="F127" s="249">
        <v>214.06</v>
      </c>
      <c r="G127" s="74">
        <v>100</v>
      </c>
      <c r="H127" s="75">
        <v>5</v>
      </c>
      <c r="I127" s="248">
        <v>109.06</v>
      </c>
      <c r="J127" s="18">
        <f t="shared" si="4"/>
        <v>214.06</v>
      </c>
      <c r="K127" s="77"/>
      <c r="L127" s="33">
        <f>+(F127-((SUM(J127+K127))))</f>
        <v>0</v>
      </c>
      <c r="M127" s="37"/>
      <c r="N127" s="6"/>
    </row>
    <row r="128" spans="1:14" ht="15.75">
      <c r="A128" s="11">
        <f t="shared" si="6"/>
        <v>122</v>
      </c>
      <c r="B128" s="19" t="s">
        <v>675</v>
      </c>
      <c r="C128" s="19" t="s">
        <v>942</v>
      </c>
      <c r="D128" s="19">
        <v>101516</v>
      </c>
      <c r="E128" s="356" t="s">
        <v>676</v>
      </c>
      <c r="F128" s="14">
        <v>210</v>
      </c>
      <c r="G128" s="20">
        <v>200</v>
      </c>
      <c r="H128" s="21">
        <v>10</v>
      </c>
      <c r="I128" s="248"/>
      <c r="J128" s="18">
        <f t="shared" si="4"/>
        <v>210</v>
      </c>
      <c r="K128" s="32"/>
      <c r="L128" s="33">
        <f t="shared" si="8"/>
        <v>0</v>
      </c>
      <c r="M128" s="37"/>
    </row>
    <row r="129" spans="1:14" ht="15.75">
      <c r="A129" s="11">
        <f t="shared" si="6"/>
        <v>123</v>
      </c>
      <c r="B129" s="19" t="s">
        <v>677</v>
      </c>
      <c r="C129" s="19" t="s">
        <v>942</v>
      </c>
      <c r="D129" s="19">
        <v>101634</v>
      </c>
      <c r="E129" s="355" t="s">
        <v>678</v>
      </c>
      <c r="F129" s="14">
        <v>255</v>
      </c>
      <c r="G129" s="74">
        <v>200</v>
      </c>
      <c r="H129" s="75">
        <v>10</v>
      </c>
      <c r="I129" s="14">
        <v>45</v>
      </c>
      <c r="J129" s="18">
        <f t="shared" si="4"/>
        <v>255</v>
      </c>
      <c r="K129" s="32"/>
      <c r="L129" s="33">
        <f t="shared" si="8"/>
        <v>0</v>
      </c>
      <c r="M129" s="215"/>
    </row>
    <row r="130" spans="1:14" ht="15.75">
      <c r="A130" s="11">
        <f t="shared" si="6"/>
        <v>124</v>
      </c>
      <c r="B130" s="19" t="s">
        <v>679</v>
      </c>
      <c r="C130" s="19" t="s">
        <v>942</v>
      </c>
      <c r="D130" s="19">
        <v>101067</v>
      </c>
      <c r="E130" s="355" t="s">
        <v>77</v>
      </c>
      <c r="F130" s="14">
        <v>119.4</v>
      </c>
      <c r="G130" s="74">
        <v>100</v>
      </c>
      <c r="H130" s="75">
        <v>5</v>
      </c>
      <c r="I130" s="14">
        <v>14.4</v>
      </c>
      <c r="J130" s="18">
        <f t="shared" si="4"/>
        <v>119.4</v>
      </c>
      <c r="K130" s="32"/>
      <c r="L130" s="33">
        <f t="shared" si="8"/>
        <v>0</v>
      </c>
      <c r="M130" s="37"/>
    </row>
    <row r="131" spans="1:14" ht="15.75">
      <c r="A131" s="11">
        <f t="shared" si="6"/>
        <v>125</v>
      </c>
      <c r="B131" s="19" t="s">
        <v>680</v>
      </c>
      <c r="C131" s="19" t="s">
        <v>942</v>
      </c>
      <c r="D131" s="19">
        <v>101565</v>
      </c>
      <c r="E131" s="356" t="s">
        <v>681</v>
      </c>
      <c r="F131" s="14">
        <v>210</v>
      </c>
      <c r="G131" s="20">
        <v>200</v>
      </c>
      <c r="H131" s="21">
        <v>10</v>
      </c>
      <c r="I131" s="14"/>
      <c r="J131" s="18">
        <f t="shared" si="4"/>
        <v>210</v>
      </c>
      <c r="K131" s="32"/>
      <c r="L131" s="33">
        <f t="shared" si="8"/>
        <v>0</v>
      </c>
      <c r="M131" s="215"/>
    </row>
    <row r="132" spans="1:14" ht="15.75">
      <c r="A132" s="11">
        <f t="shared" si="6"/>
        <v>126</v>
      </c>
      <c r="B132" s="30" t="s">
        <v>682</v>
      </c>
      <c r="C132" s="19" t="s">
        <v>942</v>
      </c>
      <c r="D132" s="19">
        <v>101886</v>
      </c>
      <c r="E132" s="315" t="s">
        <v>683</v>
      </c>
      <c r="F132" s="14">
        <v>105</v>
      </c>
      <c r="G132" s="74">
        <v>100</v>
      </c>
      <c r="H132" s="75">
        <v>5</v>
      </c>
      <c r="I132" s="249"/>
      <c r="J132" s="18">
        <f t="shared" si="4"/>
        <v>105</v>
      </c>
      <c r="K132" s="35"/>
      <c r="L132" s="33">
        <f t="shared" si="8"/>
        <v>0</v>
      </c>
      <c r="M132" s="37"/>
    </row>
    <row r="133" spans="1:14" ht="15.75">
      <c r="A133" s="11">
        <f t="shared" si="6"/>
        <v>127</v>
      </c>
      <c r="B133" s="19" t="s">
        <v>684</v>
      </c>
      <c r="C133" s="19" t="s">
        <v>942</v>
      </c>
      <c r="D133" s="19">
        <v>101066</v>
      </c>
      <c r="E133" s="355" t="s">
        <v>84</v>
      </c>
      <c r="F133" s="14">
        <v>120.4</v>
      </c>
      <c r="G133" s="26">
        <v>100</v>
      </c>
      <c r="H133" s="27">
        <v>5</v>
      </c>
      <c r="I133" s="14">
        <v>15.4</v>
      </c>
      <c r="J133" s="18">
        <f t="shared" si="4"/>
        <v>120.4</v>
      </c>
      <c r="K133" s="32"/>
      <c r="L133" s="33">
        <f t="shared" si="8"/>
        <v>0</v>
      </c>
      <c r="M133" s="215"/>
    </row>
    <row r="134" spans="1:14" ht="15.75">
      <c r="A134" s="11">
        <f t="shared" si="6"/>
        <v>128</v>
      </c>
      <c r="B134" s="19" t="s">
        <v>685</v>
      </c>
      <c r="C134" s="19" t="s">
        <v>942</v>
      </c>
      <c r="D134" s="19">
        <v>101684</v>
      </c>
      <c r="E134" s="355" t="s">
        <v>346</v>
      </c>
      <c r="F134" s="14">
        <v>52.5</v>
      </c>
      <c r="G134" s="74">
        <v>50</v>
      </c>
      <c r="H134" s="75">
        <v>2.5</v>
      </c>
      <c r="I134" s="14"/>
      <c r="J134" s="18">
        <f t="shared" si="4"/>
        <v>52.5</v>
      </c>
      <c r="K134" s="32"/>
      <c r="L134" s="33">
        <f t="shared" si="8"/>
        <v>0</v>
      </c>
      <c r="M134" s="215"/>
    </row>
    <row r="135" spans="1:14" ht="15.75">
      <c r="A135" s="11">
        <f t="shared" si="6"/>
        <v>129</v>
      </c>
      <c r="B135" s="19" t="s">
        <v>63</v>
      </c>
      <c r="C135" s="19" t="s">
        <v>942</v>
      </c>
      <c r="D135" s="19">
        <v>101825</v>
      </c>
      <c r="E135" s="356" t="s">
        <v>686</v>
      </c>
      <c r="F135" s="14">
        <v>105</v>
      </c>
      <c r="G135" s="53">
        <v>100</v>
      </c>
      <c r="H135" s="54">
        <v>5</v>
      </c>
      <c r="I135" s="14"/>
      <c r="J135" s="18">
        <f t="shared" si="4"/>
        <v>105</v>
      </c>
      <c r="K135" s="32"/>
      <c r="L135" s="33">
        <f t="shared" si="8"/>
        <v>0</v>
      </c>
      <c r="M135" s="37"/>
    </row>
    <row r="136" spans="1:14" ht="15.75">
      <c r="A136" s="11">
        <f t="shared" si="6"/>
        <v>130</v>
      </c>
      <c r="B136" s="19" t="s">
        <v>688</v>
      </c>
      <c r="C136" s="19" t="s">
        <v>942</v>
      </c>
      <c r="D136" s="19">
        <v>101808</v>
      </c>
      <c r="E136" s="356" t="s">
        <v>689</v>
      </c>
      <c r="F136" s="14">
        <v>105</v>
      </c>
      <c r="G136" s="74">
        <v>100</v>
      </c>
      <c r="H136" s="54">
        <v>5</v>
      </c>
      <c r="I136" s="14"/>
      <c r="J136" s="18">
        <f>SUM(G136+H136+I136)</f>
        <v>105</v>
      </c>
      <c r="K136" s="32"/>
      <c r="L136" s="33">
        <f>+(F136-((SUM(J136+K136))))</f>
        <v>0</v>
      </c>
      <c r="M136" s="37"/>
      <c r="N136" s="6"/>
    </row>
    <row r="137" spans="1:14" ht="15.75">
      <c r="A137" s="11">
        <f t="shared" ref="A137:A200" si="9">1+A136</f>
        <v>131</v>
      </c>
      <c r="B137" s="19" t="s">
        <v>666</v>
      </c>
      <c r="C137" s="19" t="s">
        <v>942</v>
      </c>
      <c r="D137" s="19">
        <v>101189</v>
      </c>
      <c r="E137" s="356" t="s">
        <v>89</v>
      </c>
      <c r="F137" s="14">
        <v>52.5</v>
      </c>
      <c r="G137" s="74">
        <v>50</v>
      </c>
      <c r="H137" s="75">
        <v>2.5</v>
      </c>
      <c r="I137" s="14"/>
      <c r="J137" s="18">
        <f>SUM(G137+H137+I137)</f>
        <v>52.5</v>
      </c>
      <c r="K137" s="32"/>
      <c r="L137" s="33">
        <f>+(F137-((SUM(J137+K137))))</f>
        <v>0</v>
      </c>
      <c r="M137" s="215"/>
      <c r="N137" s="40"/>
    </row>
    <row r="138" spans="1:14" ht="15.75">
      <c r="A138" s="11">
        <f t="shared" si="9"/>
        <v>132</v>
      </c>
      <c r="B138" s="19" t="s">
        <v>5</v>
      </c>
      <c r="C138" s="19" t="s">
        <v>942</v>
      </c>
      <c r="D138" s="19">
        <v>101738</v>
      </c>
      <c r="E138" s="315" t="s">
        <v>687</v>
      </c>
      <c r="F138" s="14">
        <v>105</v>
      </c>
      <c r="G138" s="20">
        <v>100</v>
      </c>
      <c r="H138" s="21">
        <v>5</v>
      </c>
      <c r="I138" s="14"/>
      <c r="J138" s="18">
        <f t="shared" si="4"/>
        <v>105</v>
      </c>
      <c r="K138" s="32"/>
      <c r="L138" s="33">
        <f t="shared" si="8"/>
        <v>0</v>
      </c>
      <c r="M138" s="215"/>
      <c r="N138" s="6"/>
    </row>
    <row r="139" spans="1:14" ht="15.75">
      <c r="A139" s="11">
        <f t="shared" si="9"/>
        <v>133</v>
      </c>
      <c r="B139" s="19" t="s">
        <v>690</v>
      </c>
      <c r="C139" s="19" t="s">
        <v>942</v>
      </c>
      <c r="D139" s="19">
        <v>101756</v>
      </c>
      <c r="E139" s="356" t="s">
        <v>965</v>
      </c>
      <c r="F139" s="14">
        <v>262.5</v>
      </c>
      <c r="G139" s="53">
        <v>250</v>
      </c>
      <c r="H139" s="54">
        <v>12.5</v>
      </c>
      <c r="I139" s="14"/>
      <c r="J139" s="18">
        <f t="shared" si="4"/>
        <v>262.5</v>
      </c>
      <c r="K139" s="32"/>
      <c r="L139" s="33">
        <f t="shared" si="8"/>
        <v>0</v>
      </c>
      <c r="M139" s="37"/>
      <c r="N139" s="6"/>
    </row>
    <row r="140" spans="1:14" ht="15.75">
      <c r="A140" s="11">
        <f t="shared" si="9"/>
        <v>134</v>
      </c>
      <c r="B140" s="301" t="s">
        <v>1047</v>
      </c>
      <c r="C140" s="197" t="s">
        <v>942</v>
      </c>
      <c r="D140" s="197">
        <v>105524</v>
      </c>
      <c r="E140" s="356" t="s">
        <v>1048</v>
      </c>
      <c r="F140" s="14">
        <v>54.13</v>
      </c>
      <c r="G140" s="238">
        <v>50</v>
      </c>
      <c r="H140" s="131">
        <v>2.5</v>
      </c>
      <c r="I140" s="14">
        <v>1.63</v>
      </c>
      <c r="J140" s="18">
        <f>SUM(G140+H140+I140)</f>
        <v>54.13</v>
      </c>
      <c r="K140" s="32"/>
      <c r="L140" s="33">
        <f>+(F140-((SUM(J140+K140))))</f>
        <v>0</v>
      </c>
      <c r="M140" s="215"/>
      <c r="N140" s="6"/>
    </row>
    <row r="141" spans="1:14" ht="15.75">
      <c r="A141" s="11">
        <f t="shared" si="9"/>
        <v>135</v>
      </c>
      <c r="B141" s="116" t="s">
        <v>898</v>
      </c>
      <c r="C141" s="19" t="s">
        <v>942</v>
      </c>
      <c r="D141" s="19">
        <v>101880</v>
      </c>
      <c r="E141" s="356" t="s">
        <v>899</v>
      </c>
      <c r="F141" s="14">
        <v>52.5</v>
      </c>
      <c r="G141" s="74">
        <v>50</v>
      </c>
      <c r="H141" s="54">
        <v>2.5</v>
      </c>
      <c r="I141" s="14"/>
      <c r="J141" s="18">
        <f>SUM(G141+H141+I141)</f>
        <v>52.5</v>
      </c>
      <c r="K141" s="32"/>
      <c r="L141" s="33">
        <f>+(F141-((SUM(J141+K141))))</f>
        <v>0</v>
      </c>
      <c r="M141" s="37"/>
      <c r="N141" s="6"/>
    </row>
    <row r="142" spans="1:14" ht="15.75">
      <c r="A142" s="11">
        <f t="shared" si="9"/>
        <v>136</v>
      </c>
      <c r="B142" s="19" t="s">
        <v>822</v>
      </c>
      <c r="C142" s="19" t="s">
        <v>942</v>
      </c>
      <c r="D142" s="19">
        <v>101042</v>
      </c>
      <c r="E142" s="356" t="s">
        <v>823</v>
      </c>
      <c r="F142" s="14">
        <v>105</v>
      </c>
      <c r="G142" s="53">
        <v>100</v>
      </c>
      <c r="H142" s="54">
        <v>5</v>
      </c>
      <c r="I142" s="248"/>
      <c r="J142" s="18">
        <f t="shared" si="4"/>
        <v>105</v>
      </c>
      <c r="K142" s="77"/>
      <c r="L142" s="33">
        <f>+(F142-((SUM(J142+K142))))</f>
        <v>0</v>
      </c>
      <c r="M142" s="37"/>
      <c r="N142" s="6"/>
    </row>
    <row r="143" spans="1:14" ht="15.75">
      <c r="A143" s="11">
        <f t="shared" si="9"/>
        <v>137</v>
      </c>
      <c r="B143" s="19" t="s">
        <v>597</v>
      </c>
      <c r="C143" s="211" t="s">
        <v>942</v>
      </c>
      <c r="D143" s="211">
        <v>105248</v>
      </c>
      <c r="E143" s="356" t="s">
        <v>954</v>
      </c>
      <c r="F143" s="14">
        <v>145.1</v>
      </c>
      <c r="G143" s="53">
        <v>100</v>
      </c>
      <c r="H143" s="54">
        <v>5</v>
      </c>
      <c r="I143" s="14">
        <v>40.1</v>
      </c>
      <c r="J143" s="18">
        <f>SUM(G143+H143+I143)</f>
        <v>145.1</v>
      </c>
      <c r="K143" s="32"/>
      <c r="L143" s="33">
        <f>+(F143-((SUM(J143+K143))))</f>
        <v>0</v>
      </c>
      <c r="M143" s="215"/>
      <c r="N143" s="40"/>
    </row>
    <row r="144" spans="1:14" ht="15.75">
      <c r="A144" s="11">
        <f t="shared" si="9"/>
        <v>138</v>
      </c>
      <c r="B144" s="333" t="s">
        <v>1003</v>
      </c>
      <c r="C144" s="19" t="s">
        <v>942</v>
      </c>
      <c r="D144" s="19">
        <v>105556</v>
      </c>
      <c r="E144" s="315" t="s">
        <v>1056</v>
      </c>
      <c r="F144" s="147">
        <v>105</v>
      </c>
      <c r="G144" s="278">
        <v>100</v>
      </c>
      <c r="H144" s="279">
        <v>5</v>
      </c>
      <c r="I144" s="249"/>
      <c r="J144" s="18">
        <f>SUM(G144+H144+I144)</f>
        <v>105</v>
      </c>
      <c r="K144" s="35"/>
      <c r="L144" s="36">
        <f>+(F144-((SUM(J144+K144))))</f>
        <v>0</v>
      </c>
      <c r="M144" s="215"/>
      <c r="N144" s="40"/>
    </row>
    <row r="145" spans="1:14" ht="15.75">
      <c r="A145" s="11">
        <f t="shared" si="9"/>
        <v>139</v>
      </c>
      <c r="B145" s="19" t="s">
        <v>51</v>
      </c>
      <c r="C145" s="19" t="s">
        <v>942</v>
      </c>
      <c r="D145" s="19">
        <v>101736</v>
      </c>
      <c r="E145" s="356" t="s">
        <v>692</v>
      </c>
      <c r="F145" s="14">
        <v>52.5</v>
      </c>
      <c r="G145" s="53">
        <v>50</v>
      </c>
      <c r="H145" s="54">
        <v>2.5</v>
      </c>
      <c r="I145" s="14"/>
      <c r="J145" s="18">
        <f t="shared" si="4"/>
        <v>52.5</v>
      </c>
      <c r="K145" s="32"/>
      <c r="L145" s="33">
        <f t="shared" si="8"/>
        <v>0</v>
      </c>
      <c r="M145" s="37"/>
      <c r="N145" s="40"/>
    </row>
    <row r="146" spans="1:14" ht="15.75">
      <c r="A146" s="11">
        <f t="shared" si="9"/>
        <v>140</v>
      </c>
      <c r="B146" s="19" t="s">
        <v>696</v>
      </c>
      <c r="C146" s="19" t="s">
        <v>942</v>
      </c>
      <c r="D146" s="19">
        <v>101705</v>
      </c>
      <c r="E146" s="356" t="s">
        <v>697</v>
      </c>
      <c r="F146" s="14">
        <v>210</v>
      </c>
      <c r="G146" s="74">
        <v>200</v>
      </c>
      <c r="H146" s="54">
        <v>10</v>
      </c>
      <c r="I146" s="14"/>
      <c r="J146" s="18">
        <f t="shared" si="4"/>
        <v>210</v>
      </c>
      <c r="K146" s="32"/>
      <c r="L146" s="33">
        <f t="shared" si="8"/>
        <v>0</v>
      </c>
      <c r="M146" s="37"/>
      <c r="N146" s="40"/>
    </row>
    <row r="147" spans="1:14" ht="15.75">
      <c r="A147" s="11">
        <f t="shared" si="9"/>
        <v>141</v>
      </c>
      <c r="B147" s="116" t="s">
        <v>698</v>
      </c>
      <c r="C147" s="19" t="s">
        <v>942</v>
      </c>
      <c r="D147" s="19">
        <v>105069</v>
      </c>
      <c r="E147" s="356" t="s">
        <v>699</v>
      </c>
      <c r="F147" s="14">
        <v>105</v>
      </c>
      <c r="G147" s="74">
        <v>100</v>
      </c>
      <c r="H147" s="54">
        <v>5</v>
      </c>
      <c r="I147" s="14"/>
      <c r="J147" s="18">
        <f t="shared" si="4"/>
        <v>105</v>
      </c>
      <c r="K147" s="32"/>
      <c r="L147" s="33">
        <f t="shared" si="8"/>
        <v>0</v>
      </c>
      <c r="M147" s="37"/>
      <c r="N147" s="40"/>
    </row>
    <row r="148" spans="1:14" ht="15.75">
      <c r="A148" s="11">
        <f t="shared" si="9"/>
        <v>142</v>
      </c>
      <c r="B148" s="280" t="s">
        <v>997</v>
      </c>
      <c r="C148" s="12" t="s">
        <v>942</v>
      </c>
      <c r="D148" s="19">
        <v>105342</v>
      </c>
      <c r="E148" s="315" t="s">
        <v>998</v>
      </c>
      <c r="F148" s="14">
        <v>131.77000000000001</v>
      </c>
      <c r="G148" s="74">
        <v>100</v>
      </c>
      <c r="H148" s="75">
        <v>3.39</v>
      </c>
      <c r="I148" s="249">
        <v>28.38</v>
      </c>
      <c r="J148" s="18">
        <f>SUM(G148+H148+I148)</f>
        <v>131.77000000000001</v>
      </c>
      <c r="K148" s="35"/>
      <c r="L148" s="36">
        <f>+(F148-((SUM(J148+K148))))</f>
        <v>0</v>
      </c>
      <c r="M148" s="215"/>
      <c r="N148" s="40"/>
    </row>
    <row r="149" spans="1:14" ht="15.75">
      <c r="A149" s="11">
        <f t="shared" si="9"/>
        <v>143</v>
      </c>
      <c r="B149" s="116" t="s">
        <v>700</v>
      </c>
      <c r="C149" s="19" t="s">
        <v>942</v>
      </c>
      <c r="D149" s="19">
        <v>105104</v>
      </c>
      <c r="E149" s="356" t="s">
        <v>701</v>
      </c>
      <c r="F149" s="14">
        <v>210</v>
      </c>
      <c r="G149" s="74">
        <v>200</v>
      </c>
      <c r="H149" s="54">
        <v>10</v>
      </c>
      <c r="I149" s="14"/>
      <c r="J149" s="18">
        <f t="shared" si="4"/>
        <v>210</v>
      </c>
      <c r="K149" s="32"/>
      <c r="L149" s="33">
        <f t="shared" si="8"/>
        <v>0</v>
      </c>
      <c r="M149" s="37"/>
      <c r="N149" s="40"/>
    </row>
    <row r="150" spans="1:14" ht="15.75">
      <c r="A150" s="11">
        <f t="shared" si="9"/>
        <v>144</v>
      </c>
      <c r="B150" s="132" t="s">
        <v>702</v>
      </c>
      <c r="C150" s="19" t="s">
        <v>942</v>
      </c>
      <c r="D150" s="197">
        <v>105145</v>
      </c>
      <c r="E150" s="356" t="s">
        <v>703</v>
      </c>
      <c r="F150" s="14">
        <v>52.5</v>
      </c>
      <c r="G150" s="238">
        <v>50</v>
      </c>
      <c r="H150" s="131">
        <v>2.5</v>
      </c>
      <c r="I150" s="14"/>
      <c r="J150" s="18">
        <f t="shared" ref="J150:J212" si="10">SUM(G150+H150+I150)</f>
        <v>52.5</v>
      </c>
      <c r="K150" s="32"/>
      <c r="L150" s="33">
        <f t="shared" si="8"/>
        <v>0</v>
      </c>
      <c r="M150" s="37"/>
      <c r="N150" s="40"/>
    </row>
    <row r="151" spans="1:14" ht="15.75">
      <c r="A151" s="11">
        <f t="shared" si="9"/>
        <v>145</v>
      </c>
      <c r="B151" s="132" t="s">
        <v>704</v>
      </c>
      <c r="C151" s="19" t="s">
        <v>942</v>
      </c>
      <c r="D151" s="197">
        <v>105134</v>
      </c>
      <c r="E151" s="356" t="s">
        <v>705</v>
      </c>
      <c r="F151" s="14">
        <v>52.5</v>
      </c>
      <c r="G151" s="238">
        <v>50</v>
      </c>
      <c r="H151" s="131">
        <v>2.5</v>
      </c>
      <c r="I151" s="14"/>
      <c r="J151" s="18">
        <f t="shared" si="10"/>
        <v>52.5</v>
      </c>
      <c r="K151" s="32"/>
      <c r="L151" s="33">
        <f t="shared" si="8"/>
        <v>0</v>
      </c>
      <c r="M151" s="37"/>
      <c r="N151" s="40"/>
    </row>
    <row r="152" spans="1:14" ht="15.75">
      <c r="A152" s="11">
        <f t="shared" si="9"/>
        <v>146</v>
      </c>
      <c r="B152" s="69" t="s">
        <v>834</v>
      </c>
      <c r="C152" s="145" t="s">
        <v>942</v>
      </c>
      <c r="D152" s="19">
        <v>101082</v>
      </c>
      <c r="E152" s="360" t="s">
        <v>280</v>
      </c>
      <c r="F152" s="264">
        <v>126.71</v>
      </c>
      <c r="G152" s="53">
        <v>100</v>
      </c>
      <c r="H152" s="71">
        <v>5</v>
      </c>
      <c r="I152" s="251">
        <v>21.71</v>
      </c>
      <c r="J152" s="18">
        <f t="shared" si="10"/>
        <v>126.71000000000001</v>
      </c>
      <c r="K152" s="73"/>
      <c r="L152" s="33">
        <f t="shared" si="8"/>
        <v>-1.4210854715202004E-14</v>
      </c>
      <c r="M152" s="37"/>
      <c r="N152" s="40"/>
    </row>
    <row r="153" spans="1:14" ht="15.75">
      <c r="A153" s="11">
        <f t="shared" si="9"/>
        <v>147</v>
      </c>
      <c r="B153" s="19" t="s">
        <v>835</v>
      </c>
      <c r="C153" s="19" t="s">
        <v>942</v>
      </c>
      <c r="D153" s="19">
        <v>101033</v>
      </c>
      <c r="E153" s="356" t="s">
        <v>301</v>
      </c>
      <c r="F153" s="14">
        <v>145.94999999999999</v>
      </c>
      <c r="G153" s="53">
        <v>100</v>
      </c>
      <c r="H153" s="54">
        <v>5</v>
      </c>
      <c r="I153" s="248">
        <v>40.950000000000003</v>
      </c>
      <c r="J153" s="18">
        <f t="shared" si="10"/>
        <v>145.94999999999999</v>
      </c>
      <c r="K153" s="32"/>
      <c r="L153" s="33">
        <f t="shared" si="8"/>
        <v>0</v>
      </c>
      <c r="M153" s="37"/>
      <c r="N153" s="40"/>
    </row>
    <row r="154" spans="1:14" ht="15.75">
      <c r="A154" s="11">
        <f t="shared" si="9"/>
        <v>148</v>
      </c>
      <c r="B154" s="116" t="s">
        <v>888</v>
      </c>
      <c r="C154" s="19" t="s">
        <v>942</v>
      </c>
      <c r="D154" s="19">
        <v>101857</v>
      </c>
      <c r="E154" s="356" t="s">
        <v>889</v>
      </c>
      <c r="F154" s="14">
        <v>52.5</v>
      </c>
      <c r="G154" s="74">
        <v>50</v>
      </c>
      <c r="H154" s="54">
        <v>2.5</v>
      </c>
      <c r="I154" s="248"/>
      <c r="J154" s="18">
        <f t="shared" si="10"/>
        <v>52.5</v>
      </c>
      <c r="K154" s="32"/>
      <c r="L154" s="33">
        <f t="shared" si="8"/>
        <v>0</v>
      </c>
      <c r="M154" s="37"/>
      <c r="N154" s="40"/>
    </row>
    <row r="155" spans="1:14" ht="15.75">
      <c r="A155" s="11">
        <f t="shared" si="9"/>
        <v>149</v>
      </c>
      <c r="B155" s="116" t="s">
        <v>890</v>
      </c>
      <c r="C155" s="19" t="s">
        <v>942</v>
      </c>
      <c r="D155" s="19">
        <v>101861</v>
      </c>
      <c r="E155" s="356" t="s">
        <v>891</v>
      </c>
      <c r="F155" s="14">
        <v>487.99</v>
      </c>
      <c r="G155" s="74">
        <v>100</v>
      </c>
      <c r="H155" s="54">
        <v>5</v>
      </c>
      <c r="I155" s="14">
        <v>382.99</v>
      </c>
      <c r="J155" s="18">
        <f t="shared" si="10"/>
        <v>487.99</v>
      </c>
      <c r="K155" s="32"/>
      <c r="L155" s="33">
        <f t="shared" si="8"/>
        <v>0</v>
      </c>
      <c r="M155" s="37"/>
      <c r="N155" s="40"/>
    </row>
    <row r="156" spans="1:14" ht="15.75">
      <c r="A156" s="11">
        <f t="shared" si="9"/>
        <v>150</v>
      </c>
      <c r="B156" s="19" t="s">
        <v>41</v>
      </c>
      <c r="C156" s="19" t="s">
        <v>942</v>
      </c>
      <c r="D156" s="19">
        <v>101741</v>
      </c>
      <c r="E156" s="356" t="s">
        <v>695</v>
      </c>
      <c r="F156" s="14">
        <v>105</v>
      </c>
      <c r="G156" s="53">
        <v>100</v>
      </c>
      <c r="H156" s="54">
        <v>5</v>
      </c>
      <c r="I156" s="250"/>
      <c r="J156" s="18">
        <f>SUM(G156+H156+I156)</f>
        <v>105</v>
      </c>
      <c r="K156" s="32"/>
      <c r="L156" s="33">
        <f>+(F156-((SUM(J156+K156))))</f>
        <v>0</v>
      </c>
      <c r="M156" s="37"/>
      <c r="N156" s="40"/>
    </row>
    <row r="157" spans="1:14" ht="15.75">
      <c r="A157" s="11">
        <f t="shared" si="9"/>
        <v>151</v>
      </c>
      <c r="B157" s="19" t="s">
        <v>852</v>
      </c>
      <c r="C157" s="19" t="s">
        <v>942</v>
      </c>
      <c r="D157" s="19">
        <v>101724</v>
      </c>
      <c r="E157" s="355" t="s">
        <v>853</v>
      </c>
      <c r="F157" s="14">
        <v>149.05000000000001</v>
      </c>
      <c r="G157" s="20">
        <v>100</v>
      </c>
      <c r="H157" s="21">
        <v>5</v>
      </c>
      <c r="I157" s="252">
        <v>44.05</v>
      </c>
      <c r="J157" s="18">
        <f t="shared" si="10"/>
        <v>149.05000000000001</v>
      </c>
      <c r="K157" s="32"/>
      <c r="L157" s="33">
        <f t="shared" si="8"/>
        <v>0</v>
      </c>
      <c r="M157" s="215"/>
      <c r="N157" s="40"/>
    </row>
    <row r="158" spans="1:14" ht="15.75">
      <c r="A158" s="11">
        <f t="shared" si="9"/>
        <v>152</v>
      </c>
      <c r="B158" s="30" t="s">
        <v>11</v>
      </c>
      <c r="C158" s="19" t="s">
        <v>942</v>
      </c>
      <c r="D158" s="19">
        <v>101084</v>
      </c>
      <c r="E158" s="315" t="s">
        <v>858</v>
      </c>
      <c r="F158" s="249">
        <v>52.5</v>
      </c>
      <c r="G158" s="26">
        <v>50</v>
      </c>
      <c r="H158" s="27">
        <v>2.5</v>
      </c>
      <c r="I158" s="80"/>
      <c r="J158" s="18">
        <f t="shared" si="10"/>
        <v>52.5</v>
      </c>
      <c r="K158" s="35"/>
      <c r="L158" s="36">
        <f t="shared" si="8"/>
        <v>0</v>
      </c>
      <c r="M158" s="215"/>
      <c r="N158" s="40"/>
    </row>
    <row r="159" spans="1:14" ht="15.75">
      <c r="A159" s="11">
        <f t="shared" si="9"/>
        <v>153</v>
      </c>
      <c r="B159" s="19" t="s">
        <v>54</v>
      </c>
      <c r="C159" s="19" t="s">
        <v>942</v>
      </c>
      <c r="D159" s="19">
        <v>101740</v>
      </c>
      <c r="E159" s="356" t="s">
        <v>56</v>
      </c>
      <c r="F159" s="14">
        <v>157.5</v>
      </c>
      <c r="G159" s="53">
        <v>100</v>
      </c>
      <c r="H159" s="54">
        <v>5</v>
      </c>
      <c r="I159" s="14">
        <v>52.5</v>
      </c>
      <c r="J159" s="18">
        <f t="shared" si="10"/>
        <v>157.5</v>
      </c>
      <c r="K159" s="32"/>
      <c r="L159" s="33">
        <f t="shared" si="8"/>
        <v>0</v>
      </c>
      <c r="M159" s="215"/>
      <c r="N159" s="40"/>
    </row>
    <row r="160" spans="1:14" ht="15.75">
      <c r="A160" s="11">
        <f t="shared" si="9"/>
        <v>154</v>
      </c>
      <c r="B160" s="19" t="s">
        <v>23</v>
      </c>
      <c r="C160" s="19" t="s">
        <v>942</v>
      </c>
      <c r="D160" s="19">
        <v>101021</v>
      </c>
      <c r="E160" s="361" t="s">
        <v>861</v>
      </c>
      <c r="F160" s="14">
        <v>52.5</v>
      </c>
      <c r="G160" s="20">
        <v>50</v>
      </c>
      <c r="H160" s="21">
        <v>2.5</v>
      </c>
      <c r="I160" s="14"/>
      <c r="J160" s="18">
        <f t="shared" si="10"/>
        <v>52.5</v>
      </c>
      <c r="K160" s="32"/>
      <c r="L160" s="33">
        <f t="shared" si="8"/>
        <v>0</v>
      </c>
      <c r="M160" s="215"/>
      <c r="N160" s="40"/>
    </row>
    <row r="161" spans="1:14" ht="15.75">
      <c r="A161" s="11">
        <f t="shared" si="9"/>
        <v>155</v>
      </c>
      <c r="B161" s="19" t="s">
        <v>26</v>
      </c>
      <c r="C161" s="19" t="s">
        <v>942</v>
      </c>
      <c r="D161" s="19">
        <v>101024</v>
      </c>
      <c r="E161" s="361" t="s">
        <v>862</v>
      </c>
      <c r="F161" s="14">
        <v>52.5</v>
      </c>
      <c r="G161" s="20">
        <v>50</v>
      </c>
      <c r="H161" s="21">
        <v>2.5</v>
      </c>
      <c r="I161" s="14"/>
      <c r="J161" s="18">
        <f t="shared" si="10"/>
        <v>52.5</v>
      </c>
      <c r="K161" s="32"/>
      <c r="L161" s="33">
        <f t="shared" si="8"/>
        <v>0</v>
      </c>
      <c r="M161" s="215"/>
      <c r="N161" s="6"/>
    </row>
    <row r="162" spans="1:14" ht="15.75">
      <c r="A162" s="11">
        <f t="shared" si="9"/>
        <v>156</v>
      </c>
      <c r="B162" s="19" t="s">
        <v>69</v>
      </c>
      <c r="C162" s="19" t="s">
        <v>942</v>
      </c>
      <c r="D162" s="19">
        <v>101749</v>
      </c>
      <c r="E162" s="361" t="s">
        <v>864</v>
      </c>
      <c r="F162" s="14">
        <v>109.8</v>
      </c>
      <c r="G162" s="53">
        <v>100</v>
      </c>
      <c r="H162" s="54">
        <v>5</v>
      </c>
      <c r="I162" s="14">
        <v>4.8</v>
      </c>
      <c r="J162" s="18">
        <f t="shared" si="10"/>
        <v>109.8</v>
      </c>
      <c r="K162" s="32"/>
      <c r="L162" s="33">
        <f t="shared" si="8"/>
        <v>0</v>
      </c>
      <c r="M162" s="215"/>
      <c r="N162" s="6"/>
    </row>
    <row r="163" spans="1:14" ht="15.75">
      <c r="A163" s="11">
        <f t="shared" si="9"/>
        <v>157</v>
      </c>
      <c r="B163" s="19" t="s">
        <v>71</v>
      </c>
      <c r="C163" s="19" t="s">
        <v>942</v>
      </c>
      <c r="D163" s="19">
        <v>101750</v>
      </c>
      <c r="E163" s="361" t="s">
        <v>865</v>
      </c>
      <c r="F163" s="14">
        <v>119.32</v>
      </c>
      <c r="G163" s="53">
        <v>100</v>
      </c>
      <c r="H163" s="54">
        <v>5</v>
      </c>
      <c r="I163" s="14">
        <v>14.32</v>
      </c>
      <c r="J163" s="18">
        <f t="shared" si="10"/>
        <v>119.32</v>
      </c>
      <c r="K163" s="32"/>
      <c r="L163" s="33">
        <f t="shared" si="8"/>
        <v>0</v>
      </c>
      <c r="M163" s="215"/>
      <c r="N163" s="6"/>
    </row>
    <row r="164" spans="1:14" ht="15.75">
      <c r="A164" s="11">
        <f t="shared" si="9"/>
        <v>158</v>
      </c>
      <c r="B164" s="19" t="s">
        <v>878</v>
      </c>
      <c r="C164" s="19" t="s">
        <v>942</v>
      </c>
      <c r="D164" s="19">
        <v>101807</v>
      </c>
      <c r="E164" s="356" t="s">
        <v>879</v>
      </c>
      <c r="F164" s="14">
        <v>115.62</v>
      </c>
      <c r="G164" s="74">
        <v>100</v>
      </c>
      <c r="H164" s="54">
        <v>5</v>
      </c>
      <c r="I164" s="14">
        <v>10.62</v>
      </c>
      <c r="J164" s="18">
        <f t="shared" si="10"/>
        <v>115.62</v>
      </c>
      <c r="K164" s="32"/>
      <c r="L164" s="33">
        <f t="shared" si="8"/>
        <v>0</v>
      </c>
      <c r="M164" s="215"/>
      <c r="N164" s="6"/>
    </row>
    <row r="165" spans="1:14" ht="15.75">
      <c r="A165" s="11">
        <f t="shared" si="9"/>
        <v>159</v>
      </c>
      <c r="B165" s="19" t="s">
        <v>880</v>
      </c>
      <c r="C165" s="19" t="s">
        <v>942</v>
      </c>
      <c r="D165" s="19">
        <v>101832</v>
      </c>
      <c r="E165" s="356" t="s">
        <v>881</v>
      </c>
      <c r="F165" s="14">
        <v>161.44</v>
      </c>
      <c r="G165" s="74">
        <v>100</v>
      </c>
      <c r="H165" s="54">
        <v>5</v>
      </c>
      <c r="I165" s="14">
        <v>56.44</v>
      </c>
      <c r="J165" s="18">
        <f t="shared" si="10"/>
        <v>161.44</v>
      </c>
      <c r="K165" s="32"/>
      <c r="L165" s="33">
        <f t="shared" si="8"/>
        <v>0</v>
      </c>
      <c r="M165" s="37"/>
      <c r="N165" s="6"/>
    </row>
    <row r="166" spans="1:14" ht="15.75">
      <c r="A166" s="11">
        <f t="shared" si="9"/>
        <v>160</v>
      </c>
      <c r="B166" s="19" t="s">
        <v>423</v>
      </c>
      <c r="C166" s="19" t="s">
        <v>942</v>
      </c>
      <c r="D166" s="19">
        <v>101626</v>
      </c>
      <c r="E166" s="355" t="s">
        <v>710</v>
      </c>
      <c r="F166" s="14">
        <v>52.5</v>
      </c>
      <c r="G166" s="74">
        <v>50</v>
      </c>
      <c r="H166" s="75">
        <v>2.5</v>
      </c>
      <c r="I166" s="14"/>
      <c r="J166" s="18">
        <f t="shared" si="10"/>
        <v>52.5</v>
      </c>
      <c r="K166" s="32"/>
      <c r="L166" s="33">
        <f t="shared" si="8"/>
        <v>0</v>
      </c>
      <c r="M166" s="37"/>
      <c r="N166" s="6"/>
    </row>
    <row r="167" spans="1:14" ht="15.75">
      <c r="A167" s="11">
        <f t="shared" si="9"/>
        <v>161</v>
      </c>
      <c r="B167" s="19" t="s">
        <v>404</v>
      </c>
      <c r="C167" s="19" t="s">
        <v>942</v>
      </c>
      <c r="D167" s="19">
        <v>111111</v>
      </c>
      <c r="E167" s="356" t="s">
        <v>966</v>
      </c>
      <c r="F167" s="14">
        <v>52.5</v>
      </c>
      <c r="G167" s="74">
        <v>50</v>
      </c>
      <c r="H167" s="75">
        <v>2.5</v>
      </c>
      <c r="I167" s="14"/>
      <c r="J167" s="18">
        <f t="shared" si="10"/>
        <v>52.5</v>
      </c>
      <c r="K167" s="32"/>
      <c r="L167" s="33">
        <f t="shared" si="8"/>
        <v>0</v>
      </c>
      <c r="M167" s="215"/>
      <c r="N167" s="6"/>
    </row>
    <row r="168" spans="1:14" ht="15.75">
      <c r="A168" s="11">
        <f t="shared" si="9"/>
        <v>162</v>
      </c>
      <c r="B168" s="19" t="s">
        <v>712</v>
      </c>
      <c r="C168" s="19" t="s">
        <v>942</v>
      </c>
      <c r="D168" s="19">
        <v>101792</v>
      </c>
      <c r="E168" s="355" t="s">
        <v>713</v>
      </c>
      <c r="F168" s="14">
        <v>52.5</v>
      </c>
      <c r="G168" s="74">
        <v>50</v>
      </c>
      <c r="H168" s="75">
        <v>2.5</v>
      </c>
      <c r="I168" s="14"/>
      <c r="J168" s="18">
        <f t="shared" si="10"/>
        <v>52.5</v>
      </c>
      <c r="K168" s="32"/>
      <c r="L168" s="33">
        <f t="shared" si="8"/>
        <v>0</v>
      </c>
      <c r="M168" s="215"/>
      <c r="N168" s="6"/>
    </row>
    <row r="169" spans="1:14" ht="15.75">
      <c r="A169" s="11">
        <f t="shared" si="9"/>
        <v>163</v>
      </c>
      <c r="B169" s="19" t="s">
        <v>714</v>
      </c>
      <c r="C169" s="19" t="s">
        <v>942</v>
      </c>
      <c r="D169" s="19">
        <v>101711</v>
      </c>
      <c r="E169" s="355" t="s">
        <v>715</v>
      </c>
      <c r="F169" s="14">
        <v>52.5</v>
      </c>
      <c r="G169" s="74">
        <v>50</v>
      </c>
      <c r="H169" s="75">
        <v>2.5</v>
      </c>
      <c r="I169" s="14"/>
      <c r="J169" s="18">
        <f t="shared" si="10"/>
        <v>52.5</v>
      </c>
      <c r="K169" s="32"/>
      <c r="L169" s="33">
        <f t="shared" si="8"/>
        <v>0</v>
      </c>
      <c r="M169" s="215"/>
      <c r="N169" s="6"/>
    </row>
    <row r="170" spans="1:14" ht="15.75">
      <c r="A170" s="11">
        <f t="shared" si="9"/>
        <v>164</v>
      </c>
      <c r="B170" s="19" t="s">
        <v>716</v>
      </c>
      <c r="C170" s="19" t="s">
        <v>942</v>
      </c>
      <c r="D170" s="19">
        <v>101035</v>
      </c>
      <c r="E170" s="356" t="s">
        <v>717</v>
      </c>
      <c r="F170" s="14">
        <v>52.5</v>
      </c>
      <c r="G170" s="20">
        <v>50</v>
      </c>
      <c r="H170" s="75">
        <v>2.5</v>
      </c>
      <c r="I170" s="14"/>
      <c r="J170" s="18">
        <f t="shared" si="10"/>
        <v>52.5</v>
      </c>
      <c r="K170" s="32"/>
      <c r="L170" s="33">
        <f t="shared" si="8"/>
        <v>0</v>
      </c>
      <c r="M170" s="215"/>
      <c r="N170" s="6"/>
    </row>
    <row r="171" spans="1:14" ht="15.75">
      <c r="A171" s="11">
        <f t="shared" si="9"/>
        <v>165</v>
      </c>
      <c r="B171" s="19" t="s">
        <v>718</v>
      </c>
      <c r="C171" s="19" t="s">
        <v>942</v>
      </c>
      <c r="D171" s="19">
        <v>101071</v>
      </c>
      <c r="E171" s="356" t="s">
        <v>163</v>
      </c>
      <c r="F171" s="14">
        <v>52.5</v>
      </c>
      <c r="G171" s="20">
        <v>50</v>
      </c>
      <c r="H171" s="21">
        <v>2.5</v>
      </c>
      <c r="I171" s="14"/>
      <c r="J171" s="18">
        <f t="shared" si="10"/>
        <v>52.5</v>
      </c>
      <c r="K171" s="32"/>
      <c r="L171" s="33">
        <f t="shared" si="8"/>
        <v>0</v>
      </c>
      <c r="M171" s="215"/>
      <c r="N171" s="6"/>
    </row>
    <row r="172" spans="1:14" ht="15.75">
      <c r="A172" s="11">
        <f t="shared" si="9"/>
        <v>166</v>
      </c>
      <c r="B172" s="19" t="s">
        <v>719</v>
      </c>
      <c r="C172" s="19" t="s">
        <v>942</v>
      </c>
      <c r="D172" s="19">
        <v>101090</v>
      </c>
      <c r="E172" s="356" t="s">
        <v>177</v>
      </c>
      <c r="F172" s="14">
        <v>52.5</v>
      </c>
      <c r="G172" s="20">
        <v>50</v>
      </c>
      <c r="H172" s="21">
        <v>2.5</v>
      </c>
      <c r="I172" s="14"/>
      <c r="J172" s="18">
        <f t="shared" si="10"/>
        <v>52.5</v>
      </c>
      <c r="K172" s="32"/>
      <c r="L172" s="33">
        <f t="shared" si="8"/>
        <v>0</v>
      </c>
      <c r="M172" s="215"/>
      <c r="N172" s="40"/>
    </row>
    <row r="173" spans="1:14" ht="15.75">
      <c r="A173" s="11">
        <f t="shared" si="9"/>
        <v>167</v>
      </c>
      <c r="B173" s="30" t="s">
        <v>720</v>
      </c>
      <c r="C173" s="19" t="s">
        <v>942</v>
      </c>
      <c r="D173" s="19">
        <v>101171</v>
      </c>
      <c r="E173" s="356" t="s">
        <v>161</v>
      </c>
      <c r="F173" s="14">
        <v>52.5</v>
      </c>
      <c r="G173" s="20">
        <v>50</v>
      </c>
      <c r="H173" s="21">
        <v>2.5</v>
      </c>
      <c r="I173" s="14"/>
      <c r="J173" s="18">
        <f t="shared" si="10"/>
        <v>52.5</v>
      </c>
      <c r="K173" s="32"/>
      <c r="L173" s="33">
        <f t="shared" si="8"/>
        <v>0</v>
      </c>
      <c r="M173" s="215"/>
      <c r="N173" s="40"/>
    </row>
    <row r="174" spans="1:14" ht="15.75">
      <c r="A174" s="11">
        <f t="shared" si="9"/>
        <v>168</v>
      </c>
      <c r="B174" s="19" t="s">
        <v>721</v>
      </c>
      <c r="C174" s="19" t="s">
        <v>942</v>
      </c>
      <c r="D174" s="19">
        <v>101273</v>
      </c>
      <c r="E174" s="356" t="s">
        <v>722</v>
      </c>
      <c r="F174" s="14">
        <v>52.5</v>
      </c>
      <c r="G174" s="74">
        <v>50</v>
      </c>
      <c r="H174" s="21">
        <v>2.5</v>
      </c>
      <c r="I174" s="14"/>
      <c r="J174" s="18">
        <f t="shared" si="10"/>
        <v>52.5</v>
      </c>
      <c r="K174" s="32"/>
      <c r="L174" s="33">
        <f t="shared" si="8"/>
        <v>0</v>
      </c>
      <c r="M174" s="215"/>
      <c r="N174" s="58"/>
    </row>
    <row r="175" spans="1:14" ht="15.75">
      <c r="A175" s="11">
        <f t="shared" si="9"/>
        <v>169</v>
      </c>
      <c r="B175" s="19" t="s">
        <v>723</v>
      </c>
      <c r="C175" s="19" t="s">
        <v>942</v>
      </c>
      <c r="D175" s="19">
        <v>101698</v>
      </c>
      <c r="E175" s="356" t="s">
        <v>724</v>
      </c>
      <c r="F175" s="14">
        <v>52.5</v>
      </c>
      <c r="G175" s="20">
        <v>50</v>
      </c>
      <c r="H175" s="21">
        <v>2.5</v>
      </c>
      <c r="I175" s="14"/>
      <c r="J175" s="18">
        <f t="shared" si="10"/>
        <v>52.5</v>
      </c>
      <c r="K175" s="32"/>
      <c r="L175" s="33">
        <f t="shared" si="8"/>
        <v>0</v>
      </c>
      <c r="M175" s="215"/>
      <c r="N175" s="59" t="s">
        <v>525</v>
      </c>
    </row>
    <row r="176" spans="1:14" ht="15.75">
      <c r="A176" s="11">
        <f t="shared" si="9"/>
        <v>170</v>
      </c>
      <c r="B176" s="19" t="s">
        <v>725</v>
      </c>
      <c r="C176" s="19" t="s">
        <v>942</v>
      </c>
      <c r="D176" s="19">
        <v>101315</v>
      </c>
      <c r="E176" s="355" t="s">
        <v>155</v>
      </c>
      <c r="F176" s="14">
        <v>52.5</v>
      </c>
      <c r="G176" s="74">
        <v>50</v>
      </c>
      <c r="H176" s="21">
        <v>2.5</v>
      </c>
      <c r="I176" s="14"/>
      <c r="J176" s="18">
        <f t="shared" si="10"/>
        <v>52.5</v>
      </c>
      <c r="K176" s="32"/>
      <c r="L176" s="33">
        <f t="shared" si="8"/>
        <v>0</v>
      </c>
      <c r="M176" s="215"/>
      <c r="N176" s="60" t="s">
        <v>79</v>
      </c>
    </row>
    <row r="177" spans="1:14" ht="15.75">
      <c r="A177" s="11">
        <f t="shared" si="9"/>
        <v>171</v>
      </c>
      <c r="B177" s="19" t="s">
        <v>727</v>
      </c>
      <c r="C177" s="211" t="s">
        <v>942</v>
      </c>
      <c r="D177" s="211">
        <v>101601</v>
      </c>
      <c r="E177" s="356" t="s">
        <v>967</v>
      </c>
      <c r="F177" s="14">
        <v>52.5</v>
      </c>
      <c r="G177" s="74">
        <v>50</v>
      </c>
      <c r="H177" s="21">
        <v>2.5</v>
      </c>
      <c r="I177" s="14"/>
      <c r="J177" s="18">
        <f t="shared" si="10"/>
        <v>52.5</v>
      </c>
      <c r="K177" s="32"/>
      <c r="L177" s="33">
        <f t="shared" si="8"/>
        <v>0</v>
      </c>
      <c r="M177" s="215"/>
      <c r="N177" s="40"/>
    </row>
    <row r="178" spans="1:14" ht="15.75">
      <c r="A178" s="11">
        <f t="shared" si="9"/>
        <v>172</v>
      </c>
      <c r="B178" s="19" t="s">
        <v>729</v>
      </c>
      <c r="C178" s="19" t="s">
        <v>942</v>
      </c>
      <c r="D178" s="19">
        <v>101335</v>
      </c>
      <c r="E178" s="356" t="s">
        <v>173</v>
      </c>
      <c r="F178" s="14">
        <v>52.5</v>
      </c>
      <c r="G178" s="20">
        <v>50</v>
      </c>
      <c r="H178" s="21">
        <v>2.5</v>
      </c>
      <c r="I178" s="14"/>
      <c r="J178" s="18">
        <f t="shared" si="10"/>
        <v>52.5</v>
      </c>
      <c r="K178" s="32"/>
      <c r="L178" s="33">
        <f t="shared" si="8"/>
        <v>0</v>
      </c>
      <c r="M178" s="215"/>
      <c r="N178" s="40"/>
    </row>
    <row r="179" spans="1:14" ht="15.75">
      <c r="A179" s="11">
        <f t="shared" si="9"/>
        <v>173</v>
      </c>
      <c r="B179" s="19" t="s">
        <v>730</v>
      </c>
      <c r="C179" s="19" t="s">
        <v>942</v>
      </c>
      <c r="D179" s="19">
        <v>101413</v>
      </c>
      <c r="E179" s="356" t="s">
        <v>159</v>
      </c>
      <c r="F179" s="14">
        <v>52.5</v>
      </c>
      <c r="G179" s="20">
        <v>50</v>
      </c>
      <c r="H179" s="21">
        <v>2.5</v>
      </c>
      <c r="I179" s="14"/>
      <c r="J179" s="18">
        <f t="shared" si="10"/>
        <v>52.5</v>
      </c>
      <c r="K179" s="32"/>
      <c r="L179" s="33">
        <f t="shared" si="8"/>
        <v>0</v>
      </c>
      <c r="M179" s="215"/>
      <c r="N179" s="40"/>
    </row>
    <row r="180" spans="1:14" ht="15.75">
      <c r="A180" s="11">
        <f t="shared" si="9"/>
        <v>174</v>
      </c>
      <c r="B180" s="19" t="s">
        <v>918</v>
      </c>
      <c r="C180" s="19" t="s">
        <v>942</v>
      </c>
      <c r="D180" s="19">
        <v>101882</v>
      </c>
      <c r="E180" s="356" t="s">
        <v>968</v>
      </c>
      <c r="F180" s="14">
        <v>52.5</v>
      </c>
      <c r="G180" s="74">
        <v>50</v>
      </c>
      <c r="H180" s="54">
        <v>2.5</v>
      </c>
      <c r="I180" s="14"/>
      <c r="J180" s="18">
        <f t="shared" si="10"/>
        <v>52.5</v>
      </c>
      <c r="K180" s="32"/>
      <c r="L180" s="33">
        <f>+(F180-((SUM(J180+K180))))</f>
        <v>0</v>
      </c>
      <c r="M180" s="215"/>
      <c r="N180" s="40"/>
    </row>
    <row r="181" spans="1:14" ht="15.75">
      <c r="A181" s="11">
        <f t="shared" si="9"/>
        <v>175</v>
      </c>
      <c r="B181" s="19" t="s">
        <v>731</v>
      </c>
      <c r="C181" s="211" t="s">
        <v>942</v>
      </c>
      <c r="D181" s="211">
        <v>101903</v>
      </c>
      <c r="E181" s="356" t="s">
        <v>732</v>
      </c>
      <c r="F181" s="14">
        <v>52.5</v>
      </c>
      <c r="G181" s="74">
        <v>50</v>
      </c>
      <c r="H181" s="21">
        <v>2.5</v>
      </c>
      <c r="I181" s="14"/>
      <c r="J181" s="18">
        <f t="shared" si="10"/>
        <v>52.5</v>
      </c>
      <c r="K181" s="32"/>
      <c r="L181" s="33">
        <f t="shared" si="8"/>
        <v>0</v>
      </c>
      <c r="M181" s="215"/>
      <c r="N181" s="195"/>
    </row>
    <row r="182" spans="1:14" ht="15.75">
      <c r="A182" s="11">
        <f t="shared" si="9"/>
        <v>176</v>
      </c>
      <c r="B182" s="19" t="s">
        <v>920</v>
      </c>
      <c r="C182" s="19" t="s">
        <v>942</v>
      </c>
      <c r="D182" s="19">
        <v>101881</v>
      </c>
      <c r="E182" s="356" t="s">
        <v>969</v>
      </c>
      <c r="F182" s="14">
        <v>52.5</v>
      </c>
      <c r="G182" s="74">
        <v>50</v>
      </c>
      <c r="H182" s="54">
        <v>2.5</v>
      </c>
      <c r="I182" s="14"/>
      <c r="J182" s="18">
        <f t="shared" si="10"/>
        <v>52.5</v>
      </c>
      <c r="K182" s="32"/>
      <c r="L182" s="33">
        <f>+(F182-((SUM(J182+K182))))</f>
        <v>0</v>
      </c>
      <c r="M182" s="37"/>
      <c r="N182" s="194"/>
    </row>
    <row r="183" spans="1:14" ht="15.75">
      <c r="A183" s="11">
        <f t="shared" si="9"/>
        <v>177</v>
      </c>
      <c r="B183" s="19" t="s">
        <v>733</v>
      </c>
      <c r="C183" s="19" t="s">
        <v>942</v>
      </c>
      <c r="D183" s="19">
        <v>101505</v>
      </c>
      <c r="E183" s="356" t="s">
        <v>734</v>
      </c>
      <c r="F183" s="14">
        <v>52.5</v>
      </c>
      <c r="G183" s="20">
        <v>50</v>
      </c>
      <c r="H183" s="21">
        <v>2.5</v>
      </c>
      <c r="I183" s="14"/>
      <c r="J183" s="18">
        <f t="shared" si="10"/>
        <v>52.5</v>
      </c>
      <c r="K183" s="32"/>
      <c r="L183" s="33">
        <f t="shared" si="8"/>
        <v>0</v>
      </c>
      <c r="M183" s="215"/>
      <c r="N183" s="6" t="s">
        <v>539</v>
      </c>
    </row>
    <row r="184" spans="1:14" ht="15.75">
      <c r="A184" s="11">
        <f t="shared" si="9"/>
        <v>178</v>
      </c>
      <c r="B184" s="19" t="s">
        <v>735</v>
      </c>
      <c r="C184" s="19" t="s">
        <v>942</v>
      </c>
      <c r="D184" s="19">
        <v>101682</v>
      </c>
      <c r="E184" s="355" t="s">
        <v>736</v>
      </c>
      <c r="F184" s="14">
        <v>52.5</v>
      </c>
      <c r="G184" s="74">
        <v>50</v>
      </c>
      <c r="H184" s="21">
        <v>2.5</v>
      </c>
      <c r="I184" s="14"/>
      <c r="J184" s="18">
        <f t="shared" si="10"/>
        <v>52.5</v>
      </c>
      <c r="K184" s="32"/>
      <c r="L184" s="33">
        <f t="shared" si="8"/>
        <v>0</v>
      </c>
      <c r="M184" s="215"/>
      <c r="N184" s="6" t="s">
        <v>542</v>
      </c>
    </row>
    <row r="185" spans="1:14" ht="15.75">
      <c r="A185" s="11">
        <f t="shared" si="9"/>
        <v>179</v>
      </c>
      <c r="B185" s="30" t="s">
        <v>401</v>
      </c>
      <c r="C185" s="19" t="s">
        <v>942</v>
      </c>
      <c r="D185" s="19">
        <v>101907</v>
      </c>
      <c r="E185" s="315" t="s">
        <v>970</v>
      </c>
      <c r="F185" s="14">
        <v>52.5</v>
      </c>
      <c r="G185" s="74">
        <v>50</v>
      </c>
      <c r="H185" s="75">
        <v>2.5</v>
      </c>
      <c r="I185" s="14"/>
      <c r="J185" s="18">
        <f t="shared" si="10"/>
        <v>52.5</v>
      </c>
      <c r="K185" s="35"/>
      <c r="L185" s="33">
        <f t="shared" si="8"/>
        <v>0</v>
      </c>
      <c r="M185" s="215"/>
      <c r="N185" s="40"/>
    </row>
    <row r="186" spans="1:14" ht="15.75">
      <c r="A186" s="11">
        <f t="shared" si="9"/>
        <v>180</v>
      </c>
      <c r="B186" s="19" t="s">
        <v>740</v>
      </c>
      <c r="C186" s="19" t="s">
        <v>942</v>
      </c>
      <c r="D186" s="19">
        <v>101523</v>
      </c>
      <c r="E186" s="362" t="s">
        <v>741</v>
      </c>
      <c r="F186" s="14">
        <v>52.5</v>
      </c>
      <c r="G186" s="74">
        <v>50</v>
      </c>
      <c r="H186" s="75">
        <v>2.5</v>
      </c>
      <c r="I186" s="14"/>
      <c r="J186" s="18">
        <f t="shared" si="10"/>
        <v>52.5</v>
      </c>
      <c r="K186" s="32"/>
      <c r="L186" s="33">
        <f t="shared" si="8"/>
        <v>0</v>
      </c>
      <c r="M186" s="215"/>
      <c r="N186" s="40"/>
    </row>
    <row r="187" spans="1:14" ht="15.75">
      <c r="A187" s="11">
        <f t="shared" si="9"/>
        <v>181</v>
      </c>
      <c r="B187" s="19" t="s">
        <v>742</v>
      </c>
      <c r="C187" s="19" t="s">
        <v>942</v>
      </c>
      <c r="D187" s="19">
        <v>101818</v>
      </c>
      <c r="E187" s="356" t="s">
        <v>743</v>
      </c>
      <c r="F187" s="14">
        <v>52.5</v>
      </c>
      <c r="G187" s="74">
        <v>50</v>
      </c>
      <c r="H187" s="54">
        <v>2.5</v>
      </c>
      <c r="I187" s="14"/>
      <c r="J187" s="18">
        <f t="shared" si="10"/>
        <v>52.5</v>
      </c>
      <c r="K187" s="32"/>
      <c r="L187" s="33">
        <f t="shared" si="8"/>
        <v>0</v>
      </c>
      <c r="M187" s="215"/>
      <c r="N187" s="40"/>
    </row>
    <row r="188" spans="1:14" ht="15.75">
      <c r="A188" s="11">
        <f t="shared" si="9"/>
        <v>182</v>
      </c>
      <c r="B188" s="19" t="s">
        <v>17</v>
      </c>
      <c r="C188" s="19" t="s">
        <v>942</v>
      </c>
      <c r="D188" s="19">
        <v>101713</v>
      </c>
      <c r="E188" s="361" t="s">
        <v>860</v>
      </c>
      <c r="F188" s="14">
        <v>52.5</v>
      </c>
      <c r="G188" s="20">
        <v>50</v>
      </c>
      <c r="H188" s="21">
        <v>2.5</v>
      </c>
      <c r="I188" s="14"/>
      <c r="J188" s="18">
        <f>SUM(G188+H188+I188)</f>
        <v>52.5</v>
      </c>
      <c r="K188" s="32"/>
      <c r="L188" s="33">
        <f>+(F188-((SUM(J188+K188))))</f>
        <v>0</v>
      </c>
      <c r="M188" s="37"/>
      <c r="N188" s="6"/>
    </row>
    <row r="189" spans="1:14" ht="15.75">
      <c r="A189" s="11">
        <f t="shared" si="9"/>
        <v>183</v>
      </c>
      <c r="B189" s="19" t="s">
        <v>744</v>
      </c>
      <c r="C189" s="19" t="s">
        <v>942</v>
      </c>
      <c r="D189" s="19">
        <v>101819</v>
      </c>
      <c r="E189" s="356" t="s">
        <v>745</v>
      </c>
      <c r="F189" s="14">
        <v>105</v>
      </c>
      <c r="G189" s="74">
        <v>100</v>
      </c>
      <c r="H189" s="54">
        <v>5</v>
      </c>
      <c r="I189" s="14"/>
      <c r="J189" s="18">
        <f t="shared" si="10"/>
        <v>105</v>
      </c>
      <c r="K189" s="32"/>
      <c r="L189" s="33">
        <f t="shared" si="8"/>
        <v>0</v>
      </c>
      <c r="M189" s="215"/>
      <c r="N189" s="40"/>
    </row>
    <row r="190" spans="1:14" ht="15.75">
      <c r="A190" s="11">
        <f t="shared" si="9"/>
        <v>184</v>
      </c>
      <c r="B190" s="19" t="s">
        <v>746</v>
      </c>
      <c r="C190" s="19" t="s">
        <v>942</v>
      </c>
      <c r="D190" s="19"/>
      <c r="E190" s="356" t="s">
        <v>1057</v>
      </c>
      <c r="F190" s="14">
        <v>105</v>
      </c>
      <c r="G190" s="74">
        <v>100</v>
      </c>
      <c r="H190" s="54">
        <v>5</v>
      </c>
      <c r="I190" s="14"/>
      <c r="J190" s="18">
        <f t="shared" si="10"/>
        <v>105</v>
      </c>
      <c r="K190" s="32"/>
      <c r="L190" s="33">
        <f t="shared" si="8"/>
        <v>0</v>
      </c>
      <c r="M190" s="215"/>
      <c r="N190" s="195"/>
    </row>
    <row r="191" spans="1:14" ht="15.75">
      <c r="A191" s="11">
        <f t="shared" si="9"/>
        <v>185</v>
      </c>
      <c r="B191" s="333" t="s">
        <v>1015</v>
      </c>
      <c r="C191" s="19" t="s">
        <v>942</v>
      </c>
      <c r="D191" s="19">
        <v>105373</v>
      </c>
      <c r="E191" s="316" t="s">
        <v>1043</v>
      </c>
      <c r="F191" s="281">
        <v>105</v>
      </c>
      <c r="G191" s="274">
        <v>100</v>
      </c>
      <c r="H191" s="275">
        <v>5</v>
      </c>
      <c r="I191" s="277"/>
      <c r="J191" s="18">
        <f>SUM(G191+H191+I191)</f>
        <v>105</v>
      </c>
      <c r="K191" s="35"/>
      <c r="L191" s="36">
        <f>+(F191-((SUM(J191+K191))))</f>
        <v>0</v>
      </c>
      <c r="M191" s="215"/>
      <c r="N191" s="6"/>
    </row>
    <row r="192" spans="1:14" ht="15.75">
      <c r="A192" s="11">
        <f t="shared" si="9"/>
        <v>186</v>
      </c>
      <c r="B192" s="19" t="s">
        <v>748</v>
      </c>
      <c r="C192" s="19"/>
      <c r="D192" s="19"/>
      <c r="E192" s="355" t="s">
        <v>749</v>
      </c>
      <c r="F192" s="14">
        <v>52.5</v>
      </c>
      <c r="G192" s="74">
        <v>50</v>
      </c>
      <c r="H192" s="75">
        <v>2.5</v>
      </c>
      <c r="I192" s="14"/>
      <c r="J192" s="18">
        <f t="shared" si="10"/>
        <v>52.5</v>
      </c>
      <c r="K192" s="179"/>
      <c r="L192" s="33">
        <f t="shared" si="8"/>
        <v>0</v>
      </c>
      <c r="M192" s="217"/>
      <c r="N192" s="194"/>
    </row>
    <row r="193" spans="1:14" ht="15.75">
      <c r="A193" s="11">
        <f t="shared" si="9"/>
        <v>187</v>
      </c>
      <c r="B193" s="19" t="s">
        <v>750</v>
      </c>
      <c r="C193" s="19"/>
      <c r="D193" s="19"/>
      <c r="E193" s="355" t="s">
        <v>751</v>
      </c>
      <c r="F193" s="14">
        <v>341.25</v>
      </c>
      <c r="G193" s="74">
        <v>325</v>
      </c>
      <c r="H193" s="75">
        <v>16.25</v>
      </c>
      <c r="I193" s="14"/>
      <c r="J193" s="18">
        <f t="shared" si="10"/>
        <v>341.25</v>
      </c>
      <c r="K193" s="32"/>
      <c r="L193" s="33">
        <f t="shared" si="8"/>
        <v>0</v>
      </c>
      <c r="M193" s="215"/>
      <c r="N193" s="6" t="s">
        <v>557</v>
      </c>
    </row>
    <row r="194" spans="1:14" ht="15.75">
      <c r="A194" s="11">
        <f t="shared" si="9"/>
        <v>188</v>
      </c>
      <c r="B194" s="19" t="s">
        <v>3</v>
      </c>
      <c r="C194" s="19"/>
      <c r="D194" s="19"/>
      <c r="E194" s="355" t="s">
        <v>752</v>
      </c>
      <c r="F194" s="14">
        <v>446.25</v>
      </c>
      <c r="G194" s="74">
        <v>425</v>
      </c>
      <c r="H194" s="75">
        <v>21.25</v>
      </c>
      <c r="I194" s="14"/>
      <c r="J194" s="18">
        <f t="shared" si="10"/>
        <v>446.25</v>
      </c>
      <c r="K194" s="32"/>
      <c r="L194" s="36">
        <f t="shared" si="8"/>
        <v>0</v>
      </c>
      <c r="M194" s="215"/>
      <c r="N194" s="6" t="s">
        <v>559</v>
      </c>
    </row>
    <row r="195" spans="1:14" ht="15.75">
      <c r="A195" s="11">
        <f t="shared" si="9"/>
        <v>189</v>
      </c>
      <c r="B195" s="19" t="s">
        <v>753</v>
      </c>
      <c r="C195" s="19"/>
      <c r="D195" s="19"/>
      <c r="E195" s="355" t="s">
        <v>754</v>
      </c>
      <c r="F195" s="14">
        <v>105</v>
      </c>
      <c r="G195" s="74">
        <v>100</v>
      </c>
      <c r="H195" s="75">
        <v>5</v>
      </c>
      <c r="I195" s="14"/>
      <c r="J195" s="18">
        <f t="shared" si="10"/>
        <v>105</v>
      </c>
      <c r="K195" s="32"/>
      <c r="L195" s="33">
        <f t="shared" si="8"/>
        <v>0</v>
      </c>
      <c r="M195" s="215"/>
      <c r="N195" s="6"/>
    </row>
    <row r="196" spans="1:14" ht="15.75">
      <c r="A196" s="11">
        <f t="shared" si="9"/>
        <v>190</v>
      </c>
      <c r="B196" s="19" t="s">
        <v>755</v>
      </c>
      <c r="C196" s="19"/>
      <c r="D196" s="19"/>
      <c r="E196" s="355" t="s">
        <v>756</v>
      </c>
      <c r="F196" s="14">
        <v>105</v>
      </c>
      <c r="G196" s="74">
        <v>100</v>
      </c>
      <c r="H196" s="75">
        <v>5</v>
      </c>
      <c r="I196" s="14"/>
      <c r="J196" s="18">
        <f t="shared" si="10"/>
        <v>105</v>
      </c>
      <c r="K196" s="32"/>
      <c r="L196" s="33">
        <f t="shared" si="8"/>
        <v>0</v>
      </c>
      <c r="M196" s="215"/>
    </row>
    <row r="197" spans="1:14" ht="15.75">
      <c r="A197" s="11">
        <f t="shared" si="9"/>
        <v>191</v>
      </c>
      <c r="B197" s="19" t="s">
        <v>757</v>
      </c>
      <c r="C197" s="19"/>
      <c r="D197" s="19"/>
      <c r="E197" s="356" t="s">
        <v>758</v>
      </c>
      <c r="F197" s="14">
        <v>52.5</v>
      </c>
      <c r="G197" s="74">
        <v>50</v>
      </c>
      <c r="H197" s="54">
        <v>2.5</v>
      </c>
      <c r="I197" s="14"/>
      <c r="J197" s="18">
        <f t="shared" si="10"/>
        <v>52.5</v>
      </c>
      <c r="K197" s="32"/>
      <c r="L197" s="33">
        <f t="shared" si="8"/>
        <v>0</v>
      </c>
      <c r="M197" s="215"/>
    </row>
    <row r="198" spans="1:14" ht="15.75">
      <c r="A198" s="11">
        <f t="shared" si="9"/>
        <v>192</v>
      </c>
      <c r="B198" s="19" t="s">
        <v>759</v>
      </c>
      <c r="C198" s="19"/>
      <c r="D198" s="19"/>
      <c r="E198" s="356" t="s">
        <v>760</v>
      </c>
      <c r="F198" s="14">
        <v>52.5</v>
      </c>
      <c r="G198" s="74">
        <v>50</v>
      </c>
      <c r="H198" s="54">
        <v>2.5</v>
      </c>
      <c r="I198" s="14"/>
      <c r="J198" s="18">
        <f t="shared" si="10"/>
        <v>52.5</v>
      </c>
      <c r="K198" s="32"/>
      <c r="L198" s="33">
        <f t="shared" si="8"/>
        <v>0</v>
      </c>
      <c r="M198" s="215"/>
    </row>
    <row r="199" spans="1:14" ht="15.75">
      <c r="A199" s="11">
        <f t="shared" si="9"/>
        <v>193</v>
      </c>
      <c r="B199" s="19" t="s">
        <v>761</v>
      </c>
      <c r="C199" s="19"/>
      <c r="D199" s="19"/>
      <c r="E199" s="356" t="s">
        <v>762</v>
      </c>
      <c r="F199" s="14">
        <v>52.5</v>
      </c>
      <c r="G199" s="74">
        <v>50</v>
      </c>
      <c r="H199" s="54">
        <v>2.5</v>
      </c>
      <c r="I199" s="14"/>
      <c r="J199" s="18">
        <f t="shared" si="10"/>
        <v>52.5</v>
      </c>
      <c r="K199" s="32"/>
      <c r="L199" s="33">
        <f t="shared" si="8"/>
        <v>0</v>
      </c>
      <c r="M199" s="215"/>
    </row>
    <row r="200" spans="1:14" ht="15.75">
      <c r="A200" s="11">
        <f t="shared" si="9"/>
        <v>194</v>
      </c>
      <c r="B200" s="333" t="s">
        <v>1009</v>
      </c>
      <c r="C200" s="19" t="s">
        <v>942</v>
      </c>
      <c r="D200" s="19">
        <v>105498</v>
      </c>
      <c r="E200" s="316" t="s">
        <v>1041</v>
      </c>
      <c r="F200" s="281">
        <v>105</v>
      </c>
      <c r="G200" s="274">
        <v>100</v>
      </c>
      <c r="H200" s="275">
        <v>5</v>
      </c>
      <c r="I200" s="277"/>
      <c r="J200" s="18">
        <f>SUM(G200+H200+I200)</f>
        <v>105</v>
      </c>
      <c r="K200" s="35"/>
      <c r="L200" s="36">
        <f>+(F200-((SUM(J200+K200))))</f>
        <v>0</v>
      </c>
      <c r="M200" s="215"/>
      <c r="N200" s="195"/>
    </row>
    <row r="201" spans="1:14" ht="15.75">
      <c r="A201" s="11">
        <f t="shared" ref="A201:A239" si="11">1+A200</f>
        <v>195</v>
      </c>
      <c r="B201" s="19" t="s">
        <v>396</v>
      </c>
      <c r="C201" s="19" t="s">
        <v>942</v>
      </c>
      <c r="D201" s="19">
        <v>101573</v>
      </c>
      <c r="E201" s="356" t="s">
        <v>397</v>
      </c>
      <c r="F201" s="14">
        <v>105</v>
      </c>
      <c r="G201" s="74">
        <v>100</v>
      </c>
      <c r="H201" s="21">
        <v>5</v>
      </c>
      <c r="I201" s="14"/>
      <c r="J201" s="18">
        <f t="shared" si="10"/>
        <v>105</v>
      </c>
      <c r="K201" s="32"/>
      <c r="L201" s="33">
        <f>+(F201-((SUM(J201+K201))))</f>
        <v>0</v>
      </c>
      <c r="M201" s="42"/>
    </row>
    <row r="202" spans="1:14" ht="15.75">
      <c r="A202" s="11">
        <f t="shared" si="11"/>
        <v>196</v>
      </c>
      <c r="B202" s="19" t="s">
        <v>763</v>
      </c>
      <c r="C202" s="19" t="s">
        <v>942</v>
      </c>
      <c r="D202" s="19">
        <v>101229</v>
      </c>
      <c r="E202" s="356" t="s">
        <v>764</v>
      </c>
      <c r="F202" s="14">
        <v>52.5</v>
      </c>
      <c r="G202" s="53">
        <v>50</v>
      </c>
      <c r="H202" s="54">
        <v>2.5</v>
      </c>
      <c r="I202" s="248"/>
      <c r="J202" s="18">
        <f t="shared" si="10"/>
        <v>52.5</v>
      </c>
      <c r="K202" s="32"/>
      <c r="L202" s="33">
        <f t="shared" ref="L202:L225" si="12">+(F202-((SUM(J202+K202))))</f>
        <v>0</v>
      </c>
      <c r="M202" s="215"/>
    </row>
    <row r="203" spans="1:14" ht="15.75">
      <c r="A203" s="11">
        <f t="shared" si="11"/>
        <v>197</v>
      </c>
      <c r="B203" s="19" t="s">
        <v>765</v>
      </c>
      <c r="C203" s="19" t="s">
        <v>942</v>
      </c>
      <c r="D203" s="19">
        <v>101286</v>
      </c>
      <c r="E203" s="356" t="s">
        <v>766</v>
      </c>
      <c r="F203" s="14">
        <v>52.5</v>
      </c>
      <c r="G203" s="53">
        <v>50</v>
      </c>
      <c r="H203" s="54">
        <v>2.5</v>
      </c>
      <c r="I203" s="248"/>
      <c r="J203" s="18">
        <f t="shared" si="10"/>
        <v>52.5</v>
      </c>
      <c r="K203" s="32"/>
      <c r="L203" s="33">
        <f t="shared" si="12"/>
        <v>0</v>
      </c>
      <c r="M203" s="215"/>
    </row>
    <row r="204" spans="1:14" ht="15.75">
      <c r="A204" s="11">
        <f t="shared" si="11"/>
        <v>198</v>
      </c>
      <c r="B204" s="116" t="s">
        <v>767</v>
      </c>
      <c r="C204" s="19" t="s">
        <v>942</v>
      </c>
      <c r="D204" s="19">
        <v>101858</v>
      </c>
      <c r="E204" s="356" t="s">
        <v>768</v>
      </c>
      <c r="F204" s="14">
        <v>52.5</v>
      </c>
      <c r="G204" s="74">
        <v>50</v>
      </c>
      <c r="H204" s="54">
        <v>2.5</v>
      </c>
      <c r="I204" s="14"/>
      <c r="J204" s="18">
        <f t="shared" si="10"/>
        <v>52.5</v>
      </c>
      <c r="K204" s="32"/>
      <c r="L204" s="33">
        <f t="shared" si="12"/>
        <v>0</v>
      </c>
      <c r="M204" s="215"/>
    </row>
    <row r="205" spans="1:14" ht="15.75">
      <c r="A205" s="11">
        <f t="shared" si="11"/>
        <v>199</v>
      </c>
      <c r="B205" s="19" t="s">
        <v>769</v>
      </c>
      <c r="C205" s="19" t="s">
        <v>942</v>
      </c>
      <c r="D205" s="19">
        <v>101060</v>
      </c>
      <c r="E205" s="356" t="s">
        <v>770</v>
      </c>
      <c r="F205" s="14">
        <v>52.5</v>
      </c>
      <c r="G205" s="74">
        <v>50</v>
      </c>
      <c r="H205" s="21">
        <v>2.5</v>
      </c>
      <c r="I205" s="14"/>
      <c r="J205" s="18">
        <f t="shared" si="10"/>
        <v>52.5</v>
      </c>
      <c r="K205" s="32"/>
      <c r="L205" s="33">
        <f t="shared" si="12"/>
        <v>0</v>
      </c>
      <c r="M205" s="215"/>
    </row>
    <row r="206" spans="1:14" ht="15.75">
      <c r="A206" s="11">
        <f t="shared" si="11"/>
        <v>200</v>
      </c>
      <c r="B206" s="19" t="s">
        <v>771</v>
      </c>
      <c r="C206" s="19" t="s">
        <v>942</v>
      </c>
      <c r="D206" s="19">
        <v>101702</v>
      </c>
      <c r="E206" s="355" t="s">
        <v>772</v>
      </c>
      <c r="F206" s="14">
        <v>52.5</v>
      </c>
      <c r="G206" s="74">
        <v>50</v>
      </c>
      <c r="H206" s="21">
        <v>2.5</v>
      </c>
      <c r="I206" s="14"/>
      <c r="J206" s="18">
        <f t="shared" si="10"/>
        <v>52.5</v>
      </c>
      <c r="K206" s="32"/>
      <c r="L206" s="33">
        <f t="shared" si="12"/>
        <v>0</v>
      </c>
      <c r="M206" s="215"/>
    </row>
    <row r="207" spans="1:14" ht="15.75">
      <c r="A207" s="11">
        <f t="shared" si="11"/>
        <v>201</v>
      </c>
      <c r="B207" s="301" t="s">
        <v>1049</v>
      </c>
      <c r="C207" s="197" t="s">
        <v>942</v>
      </c>
      <c r="D207" s="197">
        <v>105362</v>
      </c>
      <c r="E207" s="356" t="s">
        <v>1020</v>
      </c>
      <c r="F207" s="14">
        <v>52.5</v>
      </c>
      <c r="G207" s="238">
        <v>50</v>
      </c>
      <c r="H207" s="131">
        <v>2.5</v>
      </c>
      <c r="I207" s="14"/>
      <c r="J207" s="18">
        <f>SUM(G207+H207+I207)</f>
        <v>52.5</v>
      </c>
      <c r="K207" s="32"/>
      <c r="L207" s="33">
        <f>+(F207-((SUM(J207+K207))))</f>
        <v>0</v>
      </c>
      <c r="M207" s="215"/>
    </row>
    <row r="208" spans="1:14" ht="15.75">
      <c r="A208" s="11">
        <f t="shared" si="11"/>
        <v>202</v>
      </c>
      <c r="B208" s="19" t="s">
        <v>773</v>
      </c>
      <c r="C208" s="19" t="s">
        <v>942</v>
      </c>
      <c r="D208" s="19">
        <v>101092</v>
      </c>
      <c r="E208" s="355" t="s">
        <v>774</v>
      </c>
      <c r="F208" s="14">
        <v>52.5</v>
      </c>
      <c r="G208" s="74">
        <v>50</v>
      </c>
      <c r="H208" s="21">
        <v>2.5</v>
      </c>
      <c r="I208" s="14"/>
      <c r="J208" s="18">
        <f t="shared" si="10"/>
        <v>52.5</v>
      </c>
      <c r="K208" s="32"/>
      <c r="L208" s="33">
        <f t="shared" si="12"/>
        <v>0</v>
      </c>
      <c r="M208" s="215"/>
    </row>
    <row r="209" spans="1:13" ht="15.75">
      <c r="A209" s="11">
        <f t="shared" si="11"/>
        <v>203</v>
      </c>
      <c r="B209" s="19" t="s">
        <v>775</v>
      </c>
      <c r="C209" s="19" t="s">
        <v>942</v>
      </c>
      <c r="D209" s="262">
        <v>105278</v>
      </c>
      <c r="E209" s="356" t="s">
        <v>971</v>
      </c>
      <c r="F209" s="14">
        <v>52.5</v>
      </c>
      <c r="G209" s="20">
        <v>50</v>
      </c>
      <c r="H209" s="21">
        <v>2.5</v>
      </c>
      <c r="I209" s="14"/>
      <c r="J209" s="18">
        <f t="shared" si="10"/>
        <v>52.5</v>
      </c>
      <c r="K209" s="32"/>
      <c r="L209" s="33">
        <f t="shared" si="12"/>
        <v>0</v>
      </c>
      <c r="M209" s="215"/>
    </row>
    <row r="210" spans="1:13" ht="15.75">
      <c r="A210" s="11">
        <f t="shared" si="11"/>
        <v>204</v>
      </c>
      <c r="B210" s="19" t="s">
        <v>425</v>
      </c>
      <c r="C210" s="19" t="s">
        <v>942</v>
      </c>
      <c r="D210" s="19">
        <v>101904</v>
      </c>
      <c r="E210" s="356" t="s">
        <v>776</v>
      </c>
      <c r="F210" s="14">
        <v>52.5</v>
      </c>
      <c r="G210" s="74">
        <v>50</v>
      </c>
      <c r="H210" s="75">
        <v>2.5</v>
      </c>
      <c r="I210" s="14"/>
      <c r="J210" s="18">
        <f t="shared" si="10"/>
        <v>52.5</v>
      </c>
      <c r="K210" s="32"/>
      <c r="L210" s="33">
        <f t="shared" si="12"/>
        <v>0</v>
      </c>
      <c r="M210" s="215"/>
    </row>
    <row r="211" spans="1:13" ht="15.75">
      <c r="A211" s="11">
        <f t="shared" si="11"/>
        <v>205</v>
      </c>
      <c r="B211" s="19" t="s">
        <v>777</v>
      </c>
      <c r="C211" s="19" t="s">
        <v>942</v>
      </c>
      <c r="D211" s="19">
        <v>101627</v>
      </c>
      <c r="E211" s="356" t="s">
        <v>778</v>
      </c>
      <c r="F211" s="14">
        <v>52.5</v>
      </c>
      <c r="G211" s="20">
        <v>50</v>
      </c>
      <c r="H211" s="21">
        <v>2.5</v>
      </c>
      <c r="I211" s="248"/>
      <c r="J211" s="18">
        <f t="shared" si="10"/>
        <v>52.5</v>
      </c>
      <c r="K211" s="32"/>
      <c r="L211" s="33">
        <f t="shared" si="12"/>
        <v>0</v>
      </c>
      <c r="M211" s="215"/>
    </row>
    <row r="212" spans="1:13" ht="15.75">
      <c r="A212" s="11">
        <f t="shared" si="11"/>
        <v>206</v>
      </c>
      <c r="B212" s="19" t="s">
        <v>780</v>
      </c>
      <c r="C212" s="19" t="s">
        <v>942</v>
      </c>
      <c r="D212" s="19">
        <v>101083</v>
      </c>
      <c r="E212" s="355" t="s">
        <v>781</v>
      </c>
      <c r="F212" s="14">
        <v>52.5</v>
      </c>
      <c r="G212" s="74">
        <v>50</v>
      </c>
      <c r="H212" s="75">
        <v>2.5</v>
      </c>
      <c r="I212" s="14"/>
      <c r="J212" s="18">
        <f t="shared" si="10"/>
        <v>52.5</v>
      </c>
      <c r="K212" s="32"/>
      <c r="L212" s="33">
        <f t="shared" si="12"/>
        <v>0</v>
      </c>
      <c r="M212" s="215"/>
    </row>
    <row r="213" spans="1:13" ht="15.75">
      <c r="A213" s="11">
        <f t="shared" si="11"/>
        <v>207</v>
      </c>
      <c r="B213" s="19" t="s">
        <v>32</v>
      </c>
      <c r="C213" s="19" t="s">
        <v>942</v>
      </c>
      <c r="D213" s="19">
        <v>101068</v>
      </c>
      <c r="E213" s="361" t="s">
        <v>863</v>
      </c>
      <c r="F213" s="14">
        <v>52.5</v>
      </c>
      <c r="G213" s="20">
        <v>50</v>
      </c>
      <c r="H213" s="21">
        <v>2.5</v>
      </c>
      <c r="I213" s="14"/>
      <c r="J213" s="18">
        <f>SUM(G213+H213+I213)</f>
        <v>52.5</v>
      </c>
      <c r="K213" s="32"/>
      <c r="L213" s="33">
        <f t="shared" si="12"/>
        <v>0</v>
      </c>
      <c r="M213" s="215"/>
    </row>
    <row r="214" spans="1:13" ht="15.75">
      <c r="A214" s="11">
        <f t="shared" si="11"/>
        <v>208</v>
      </c>
      <c r="B214" s="19" t="s">
        <v>782</v>
      </c>
      <c r="C214" s="19" t="s">
        <v>942</v>
      </c>
      <c r="D214" s="19">
        <v>101639</v>
      </c>
      <c r="E214" s="355" t="s">
        <v>278</v>
      </c>
      <c r="F214" s="14">
        <v>105</v>
      </c>
      <c r="G214" s="74">
        <v>100</v>
      </c>
      <c r="H214" s="21">
        <v>5</v>
      </c>
      <c r="I214" s="14"/>
      <c r="J214" s="18">
        <f t="shared" ref="J214:J227" si="13">SUM(G214+H214+I214)</f>
        <v>105</v>
      </c>
      <c r="K214" s="32"/>
      <c r="L214" s="33">
        <f>+(F214-((SUM(J214+K214))))</f>
        <v>0</v>
      </c>
      <c r="M214" s="42"/>
    </row>
    <row r="215" spans="1:13" ht="15.75">
      <c r="A215" s="11">
        <f t="shared" si="11"/>
        <v>209</v>
      </c>
      <c r="B215" s="30" t="s">
        <v>783</v>
      </c>
      <c r="C215" s="19" t="s">
        <v>942</v>
      </c>
      <c r="D215" s="19">
        <v>101862</v>
      </c>
      <c r="E215" s="315" t="s">
        <v>1058</v>
      </c>
      <c r="F215" s="14">
        <v>52.5</v>
      </c>
      <c r="G215" s="74">
        <v>50</v>
      </c>
      <c r="H215" s="75">
        <v>2.5</v>
      </c>
      <c r="I215" s="249"/>
      <c r="J215" s="18">
        <f t="shared" si="13"/>
        <v>52.5</v>
      </c>
      <c r="K215" s="35"/>
      <c r="L215" s="33">
        <f t="shared" si="12"/>
        <v>0</v>
      </c>
      <c r="M215" s="215"/>
    </row>
    <row r="216" spans="1:13" ht="15.75">
      <c r="A216" s="11">
        <f t="shared" si="11"/>
        <v>210</v>
      </c>
      <c r="B216" s="132" t="s">
        <v>1050</v>
      </c>
      <c r="C216" s="197" t="s">
        <v>942</v>
      </c>
      <c r="D216" s="197">
        <v>105554</v>
      </c>
      <c r="E216" s="356" t="s">
        <v>1051</v>
      </c>
      <c r="F216" s="14">
        <v>52.5</v>
      </c>
      <c r="G216" s="238">
        <v>50</v>
      </c>
      <c r="H216" s="131">
        <v>2.5</v>
      </c>
      <c r="I216" s="14"/>
      <c r="J216" s="18">
        <f>SUM(G216+H216+I216)</f>
        <v>52.5</v>
      </c>
      <c r="K216" s="32"/>
      <c r="L216" s="33">
        <f>+(F216-((SUM(J216+K216))))</f>
        <v>0</v>
      </c>
      <c r="M216" s="215"/>
    </row>
    <row r="217" spans="1:13" ht="15.75">
      <c r="A217" s="11">
        <f t="shared" si="11"/>
        <v>211</v>
      </c>
      <c r="B217" s="19" t="s">
        <v>14</v>
      </c>
      <c r="C217" s="19" t="s">
        <v>942</v>
      </c>
      <c r="D217" s="19">
        <v>101710</v>
      </c>
      <c r="E217" s="361" t="s">
        <v>787</v>
      </c>
      <c r="F217" s="14">
        <v>52.5</v>
      </c>
      <c r="G217" s="20">
        <v>50</v>
      </c>
      <c r="H217" s="21">
        <v>2.5</v>
      </c>
      <c r="I217" s="14"/>
      <c r="J217" s="18">
        <f t="shared" si="13"/>
        <v>52.5</v>
      </c>
      <c r="K217" s="32"/>
      <c r="L217" s="33">
        <f t="shared" si="12"/>
        <v>0</v>
      </c>
      <c r="M217" s="215"/>
    </row>
    <row r="218" spans="1:13" ht="15.75">
      <c r="A218" s="11">
        <f t="shared" si="11"/>
        <v>212</v>
      </c>
      <c r="B218" s="19" t="s">
        <v>904</v>
      </c>
      <c r="C218" s="19" t="s">
        <v>942</v>
      </c>
      <c r="D218" s="19">
        <v>101901</v>
      </c>
      <c r="E218" s="356" t="s">
        <v>972</v>
      </c>
      <c r="F218" s="14">
        <v>52.5</v>
      </c>
      <c r="G218" s="74">
        <v>50</v>
      </c>
      <c r="H218" s="54">
        <v>2.5</v>
      </c>
      <c r="I218" s="14"/>
      <c r="J218" s="18">
        <f t="shared" si="13"/>
        <v>52.5</v>
      </c>
      <c r="K218" s="32"/>
      <c r="L218" s="33">
        <f t="shared" si="12"/>
        <v>0</v>
      </c>
      <c r="M218" s="215"/>
    </row>
    <row r="219" spans="1:13" ht="15.75">
      <c r="A219" s="11">
        <f t="shared" si="11"/>
        <v>213</v>
      </c>
      <c r="B219" s="19" t="s">
        <v>788</v>
      </c>
      <c r="C219" s="19" t="s">
        <v>942</v>
      </c>
      <c r="D219" s="19">
        <v>101887</v>
      </c>
      <c r="E219" s="356" t="s">
        <v>789</v>
      </c>
      <c r="F219" s="14">
        <v>52.5</v>
      </c>
      <c r="G219" s="74">
        <v>50</v>
      </c>
      <c r="H219" s="54">
        <v>2.5</v>
      </c>
      <c r="I219" s="14"/>
      <c r="J219" s="18">
        <f t="shared" si="13"/>
        <v>52.5</v>
      </c>
      <c r="K219" s="32"/>
      <c r="L219" s="33">
        <f t="shared" si="12"/>
        <v>0</v>
      </c>
      <c r="M219" s="37"/>
    </row>
    <row r="220" spans="1:13" ht="15.75">
      <c r="A220" s="11">
        <f t="shared" si="11"/>
        <v>214</v>
      </c>
      <c r="B220" s="19" t="s">
        <v>20</v>
      </c>
      <c r="C220" s="19" t="s">
        <v>942</v>
      </c>
      <c r="D220" s="19">
        <v>101737</v>
      </c>
      <c r="E220" s="355" t="s">
        <v>790</v>
      </c>
      <c r="F220" s="14">
        <v>52.5</v>
      </c>
      <c r="G220" s="20">
        <v>50</v>
      </c>
      <c r="H220" s="21">
        <v>2.5</v>
      </c>
      <c r="I220" s="14"/>
      <c r="J220" s="18">
        <f t="shared" si="13"/>
        <v>52.5</v>
      </c>
      <c r="K220" s="32"/>
      <c r="L220" s="33">
        <f t="shared" si="12"/>
        <v>0</v>
      </c>
      <c r="M220" s="215"/>
    </row>
    <row r="221" spans="1:13" ht="15.75">
      <c r="A221" s="11">
        <f t="shared" si="11"/>
        <v>215</v>
      </c>
      <c r="B221" s="19" t="s">
        <v>929</v>
      </c>
      <c r="C221" s="19" t="s">
        <v>942</v>
      </c>
      <c r="D221" s="19">
        <v>105221</v>
      </c>
      <c r="E221" s="355" t="s">
        <v>973</v>
      </c>
      <c r="F221" s="14">
        <v>52.5</v>
      </c>
      <c r="G221" s="74">
        <v>50</v>
      </c>
      <c r="H221" s="75">
        <v>2.5</v>
      </c>
      <c r="I221" s="14"/>
      <c r="J221" s="18">
        <f>SUM(G221+H221+I221)</f>
        <v>52.5</v>
      </c>
      <c r="K221" s="32"/>
      <c r="L221" s="33">
        <f>+(F221-((SUM(J221+K221))))</f>
        <v>0</v>
      </c>
      <c r="M221" s="215"/>
    </row>
    <row r="222" spans="1:13" ht="15.75">
      <c r="A222" s="11">
        <f t="shared" si="11"/>
        <v>216</v>
      </c>
      <c r="B222" s="19" t="s">
        <v>791</v>
      </c>
      <c r="C222" s="19"/>
      <c r="D222" s="19"/>
      <c r="E222" s="356" t="s">
        <v>792</v>
      </c>
      <c r="F222" s="14">
        <v>446.25</v>
      </c>
      <c r="G222" s="20">
        <v>425</v>
      </c>
      <c r="H222" s="21">
        <v>21.25</v>
      </c>
      <c r="I222" s="14"/>
      <c r="J222" s="18">
        <f t="shared" si="13"/>
        <v>446.25</v>
      </c>
      <c r="K222" s="32"/>
      <c r="L222" s="33">
        <f t="shared" si="12"/>
        <v>0</v>
      </c>
      <c r="M222" s="215"/>
    </row>
    <row r="223" spans="1:13" ht="15.75">
      <c r="A223" s="11">
        <f t="shared" si="11"/>
        <v>217</v>
      </c>
      <c r="B223" s="55" t="s">
        <v>793</v>
      </c>
      <c r="C223" s="55"/>
      <c r="D223" s="55"/>
      <c r="E223" s="363" t="s">
        <v>794</v>
      </c>
      <c r="F223" s="147">
        <v>446.25</v>
      </c>
      <c r="G223" s="56">
        <v>425</v>
      </c>
      <c r="H223" s="57">
        <v>21.25</v>
      </c>
      <c r="I223" s="147"/>
      <c r="J223" s="18">
        <f t="shared" si="13"/>
        <v>446.25</v>
      </c>
      <c r="K223" s="41"/>
      <c r="L223" s="85">
        <f t="shared" si="12"/>
        <v>0</v>
      </c>
      <c r="M223" s="218"/>
    </row>
    <row r="224" spans="1:13" ht="15.75">
      <c r="A224" s="11">
        <f t="shared" si="11"/>
        <v>218</v>
      </c>
      <c r="B224" s="19" t="s">
        <v>974</v>
      </c>
      <c r="C224" s="19" t="s">
        <v>942</v>
      </c>
      <c r="D224" s="19">
        <v>105183</v>
      </c>
      <c r="E224" s="356" t="s">
        <v>975</v>
      </c>
      <c r="F224" s="14">
        <v>52.5</v>
      </c>
      <c r="G224" s="20">
        <v>50</v>
      </c>
      <c r="H224" s="21">
        <v>2.5</v>
      </c>
      <c r="I224" s="14"/>
      <c r="J224" s="18">
        <f t="shared" si="13"/>
        <v>52.5</v>
      </c>
      <c r="K224" s="32"/>
      <c r="L224" s="85">
        <f t="shared" si="12"/>
        <v>0</v>
      </c>
      <c r="M224" s="218"/>
    </row>
    <row r="225" spans="1:14" ht="15.75">
      <c r="A225" s="11">
        <f t="shared" si="11"/>
        <v>219</v>
      </c>
      <c r="B225" s="55" t="s">
        <v>976</v>
      </c>
      <c r="C225" s="55" t="s">
        <v>942</v>
      </c>
      <c r="D225" s="55">
        <v>105065</v>
      </c>
      <c r="E225" s="356" t="s">
        <v>977</v>
      </c>
      <c r="F225" s="147">
        <v>105</v>
      </c>
      <c r="G225" s="56">
        <v>100</v>
      </c>
      <c r="H225" s="21">
        <v>5</v>
      </c>
      <c r="I225" s="147"/>
      <c r="J225" s="18">
        <f t="shared" si="13"/>
        <v>105</v>
      </c>
      <c r="K225" s="41"/>
      <c r="L225" s="85">
        <f t="shared" si="12"/>
        <v>0</v>
      </c>
      <c r="M225" s="218"/>
    </row>
    <row r="226" spans="1:14" ht="15.75">
      <c r="A226" s="11">
        <f t="shared" si="11"/>
        <v>220</v>
      </c>
      <c r="B226" s="55" t="s">
        <v>978</v>
      </c>
      <c r="C226" s="19" t="s">
        <v>942</v>
      </c>
      <c r="D226" s="19">
        <v>105141</v>
      </c>
      <c r="E226" s="356" t="s">
        <v>979</v>
      </c>
      <c r="F226" s="14">
        <v>52.5</v>
      </c>
      <c r="G226" s="56">
        <v>50</v>
      </c>
      <c r="H226" s="21">
        <v>2.5</v>
      </c>
      <c r="I226" s="147"/>
      <c r="J226" s="18">
        <f t="shared" si="13"/>
        <v>52.5</v>
      </c>
      <c r="K226" s="41"/>
      <c r="L226" s="85">
        <f>+(F226-((SUM(J226+K226))))</f>
        <v>0</v>
      </c>
      <c r="M226" s="37"/>
    </row>
    <row r="227" spans="1:14" ht="15.75">
      <c r="A227" s="11">
        <f t="shared" si="11"/>
        <v>221</v>
      </c>
      <c r="B227" s="243" t="s">
        <v>574</v>
      </c>
      <c r="C227" s="19" t="s">
        <v>942</v>
      </c>
      <c r="D227" s="19">
        <v>105290</v>
      </c>
      <c r="E227" s="356" t="s">
        <v>1040</v>
      </c>
      <c r="F227" s="14">
        <v>52.5</v>
      </c>
      <c r="G227" s="53">
        <v>50</v>
      </c>
      <c r="H227" s="54">
        <v>2.5</v>
      </c>
      <c r="I227" s="14"/>
      <c r="J227" s="18">
        <f t="shared" si="13"/>
        <v>52.5</v>
      </c>
      <c r="K227" s="32"/>
      <c r="L227" s="33">
        <f>+(F227-((SUM(J227+K227))))</f>
        <v>0</v>
      </c>
      <c r="M227" s="215"/>
      <c r="N227" s="6"/>
    </row>
    <row r="228" spans="1:14" ht="15.75">
      <c r="A228" s="11">
        <f t="shared" si="11"/>
        <v>222</v>
      </c>
      <c r="B228" s="19" t="s">
        <v>693</v>
      </c>
      <c r="C228" s="19" t="s">
        <v>942</v>
      </c>
      <c r="D228" s="19">
        <v>105269</v>
      </c>
      <c r="E228" s="355" t="s">
        <v>986</v>
      </c>
      <c r="F228" s="14">
        <v>110.73</v>
      </c>
      <c r="G228" s="74">
        <v>100</v>
      </c>
      <c r="H228" s="75">
        <v>5</v>
      </c>
      <c r="I228" s="14">
        <v>5.73</v>
      </c>
      <c r="J228" s="18">
        <f>SUM(G228+H228+I228)</f>
        <v>110.73</v>
      </c>
      <c r="K228" s="32"/>
      <c r="L228" s="33">
        <f>+(F228-((SUM(J228+K228))))</f>
        <v>0</v>
      </c>
      <c r="M228" s="215"/>
      <c r="N228" s="6"/>
    </row>
    <row r="229" spans="1:14" ht="15.75">
      <c r="A229" s="11">
        <f t="shared" si="11"/>
        <v>223</v>
      </c>
      <c r="B229" s="19" t="s">
        <v>987</v>
      </c>
      <c r="C229" s="19" t="s">
        <v>942</v>
      </c>
      <c r="D229" s="19">
        <v>105267</v>
      </c>
      <c r="E229" s="356" t="s">
        <v>988</v>
      </c>
      <c r="F229" s="14">
        <v>132.35</v>
      </c>
      <c r="G229" s="20">
        <v>100</v>
      </c>
      <c r="H229" s="21">
        <v>2.5</v>
      </c>
      <c r="I229" s="14">
        <v>29.85</v>
      </c>
      <c r="J229" s="18">
        <f>SUM(G229+H229+I229)</f>
        <v>132.35</v>
      </c>
      <c r="K229" s="32"/>
      <c r="L229" s="85">
        <f>+(F229-((SUM(J229+K229))))</f>
        <v>0</v>
      </c>
      <c r="M229" s="37"/>
      <c r="N229" s="6"/>
    </row>
    <row r="230" spans="1:14" ht="15.75">
      <c r="A230" s="11">
        <f t="shared" si="11"/>
        <v>224</v>
      </c>
      <c r="B230" s="22" t="s">
        <v>779</v>
      </c>
      <c r="C230" s="19" t="s">
        <v>942</v>
      </c>
      <c r="D230" s="19">
        <v>101562</v>
      </c>
      <c r="E230" s="315" t="s">
        <v>989</v>
      </c>
      <c r="F230" s="14">
        <v>52.5</v>
      </c>
      <c r="G230" s="74">
        <v>50</v>
      </c>
      <c r="H230" s="75">
        <v>2.5</v>
      </c>
      <c r="I230" s="249"/>
      <c r="J230" s="18">
        <f>SUM(G230+H230+I230)</f>
        <v>52.5</v>
      </c>
      <c r="K230" s="35"/>
      <c r="L230" s="36">
        <f>+(F230-((SUM(J230+K230))))</f>
        <v>0</v>
      </c>
      <c r="M230" s="215"/>
      <c r="N230" s="6"/>
    </row>
    <row r="231" spans="1:14" ht="15.75">
      <c r="A231" s="11">
        <f t="shared" si="11"/>
        <v>225</v>
      </c>
      <c r="B231" s="55" t="s">
        <v>991</v>
      </c>
      <c r="C231" s="19" t="s">
        <v>942</v>
      </c>
      <c r="D231" s="19">
        <v>105309</v>
      </c>
      <c r="E231" s="356" t="s">
        <v>992</v>
      </c>
      <c r="F231" s="14">
        <v>52.5</v>
      </c>
      <c r="G231" s="74">
        <v>50</v>
      </c>
      <c r="H231" s="75">
        <v>2.5</v>
      </c>
      <c r="I231" s="249"/>
      <c r="J231" s="18">
        <f t="shared" ref="J231:J239" si="14">SUM(G231+H231+I231)</f>
        <v>52.5</v>
      </c>
      <c r="K231" s="35"/>
      <c r="L231" s="36">
        <f t="shared" ref="L231:L239" si="15">+(F231-((SUM(J231+K231))))</f>
        <v>0</v>
      </c>
      <c r="M231" s="215"/>
      <c r="N231" s="6"/>
    </row>
    <row r="232" spans="1:14" ht="15.75">
      <c r="A232" s="11">
        <f t="shared" si="11"/>
        <v>226</v>
      </c>
      <c r="B232" s="280" t="s">
        <v>993</v>
      </c>
      <c r="C232" s="12" t="s">
        <v>942</v>
      </c>
      <c r="D232" s="19">
        <v>105298</v>
      </c>
      <c r="E232" s="315" t="s">
        <v>994</v>
      </c>
      <c r="F232" s="14">
        <v>52.5</v>
      </c>
      <c r="G232" s="74">
        <v>50</v>
      </c>
      <c r="H232" s="75">
        <v>2.5</v>
      </c>
      <c r="I232" s="249"/>
      <c r="J232" s="18">
        <f t="shared" si="14"/>
        <v>52.5</v>
      </c>
      <c r="K232" s="35"/>
      <c r="L232" s="36">
        <f t="shared" si="15"/>
        <v>0</v>
      </c>
      <c r="M232" s="215"/>
      <c r="N232" s="6"/>
    </row>
    <row r="233" spans="1:14" ht="15.75">
      <c r="A233" s="11">
        <f t="shared" si="11"/>
        <v>227</v>
      </c>
      <c r="B233" s="280" t="s">
        <v>995</v>
      </c>
      <c r="C233" s="12" t="s">
        <v>942</v>
      </c>
      <c r="D233" s="19">
        <v>105320</v>
      </c>
      <c r="E233" s="315" t="s">
        <v>996</v>
      </c>
      <c r="F233" s="14">
        <v>52.5</v>
      </c>
      <c r="G233" s="74">
        <v>50</v>
      </c>
      <c r="H233" s="75">
        <v>2.5</v>
      </c>
      <c r="I233" s="249"/>
      <c r="J233" s="18">
        <f t="shared" si="14"/>
        <v>52.5</v>
      </c>
      <c r="K233" s="35"/>
      <c r="L233" s="36">
        <f t="shared" si="15"/>
        <v>0</v>
      </c>
      <c r="M233" s="215"/>
      <c r="N233" s="6"/>
    </row>
    <row r="234" spans="1:14" ht="15.75">
      <c r="A234" s="11">
        <f t="shared" si="11"/>
        <v>228</v>
      </c>
      <c r="B234" s="333" t="s">
        <v>1001</v>
      </c>
      <c r="C234" s="19" t="s">
        <v>942</v>
      </c>
      <c r="D234" s="19">
        <v>105266</v>
      </c>
      <c r="E234" s="334" t="s">
        <v>1002</v>
      </c>
      <c r="F234" s="14">
        <v>105</v>
      </c>
      <c r="G234" s="74">
        <v>100</v>
      </c>
      <c r="H234" s="75">
        <v>5</v>
      </c>
      <c r="I234" s="249"/>
      <c r="J234" s="18">
        <f>SUM(G234+H234+I234)</f>
        <v>105</v>
      </c>
      <c r="K234" s="35"/>
      <c r="L234" s="36">
        <f>+(F234-((SUM(J234+K234))))</f>
        <v>0</v>
      </c>
      <c r="M234" s="215"/>
      <c r="N234" s="6"/>
    </row>
    <row r="235" spans="1:14" ht="15.75">
      <c r="A235" s="11">
        <f t="shared" si="11"/>
        <v>229</v>
      </c>
      <c r="B235" s="333" t="s">
        <v>1005</v>
      </c>
      <c r="C235" s="19" t="s">
        <v>942</v>
      </c>
      <c r="D235" s="19">
        <v>105313</v>
      </c>
      <c r="E235" s="316" t="s">
        <v>1006</v>
      </c>
      <c r="F235" s="281">
        <v>172.41</v>
      </c>
      <c r="G235" s="274">
        <v>100</v>
      </c>
      <c r="H235" s="275">
        <v>5</v>
      </c>
      <c r="I235" s="277">
        <v>67.41</v>
      </c>
      <c r="J235" s="18">
        <f t="shared" si="14"/>
        <v>172.41</v>
      </c>
      <c r="K235" s="35"/>
      <c r="L235" s="36">
        <f t="shared" si="15"/>
        <v>0</v>
      </c>
      <c r="M235" s="215"/>
      <c r="N235" s="6"/>
    </row>
    <row r="236" spans="1:14" ht="15.75">
      <c r="A236" s="11">
        <f t="shared" si="11"/>
        <v>230</v>
      </c>
      <c r="B236" s="333" t="s">
        <v>1013</v>
      </c>
      <c r="C236" s="19"/>
      <c r="D236" s="19"/>
      <c r="E236" s="316" t="s">
        <v>1014</v>
      </c>
      <c r="F236" s="281">
        <v>105</v>
      </c>
      <c r="G236" s="274">
        <v>100</v>
      </c>
      <c r="H236" s="275">
        <v>5</v>
      </c>
      <c r="I236" s="277"/>
      <c r="J236" s="18">
        <f>SUM(G236+H236+I236)</f>
        <v>105</v>
      </c>
      <c r="K236" s="35"/>
      <c r="L236" s="36">
        <f>+(F236-((SUM(J236+K236))))</f>
        <v>0</v>
      </c>
      <c r="M236" s="215"/>
      <c r="N236" s="6"/>
    </row>
    <row r="237" spans="1:14" ht="15.75">
      <c r="A237" s="11">
        <f t="shared" si="11"/>
        <v>231</v>
      </c>
      <c r="B237" s="333" t="s">
        <v>1019</v>
      </c>
      <c r="C237" s="19"/>
      <c r="D237" s="19"/>
      <c r="E237" s="316" t="s">
        <v>1045</v>
      </c>
      <c r="F237" s="281">
        <v>52.5</v>
      </c>
      <c r="G237" s="274">
        <v>50</v>
      </c>
      <c r="H237" s="275">
        <v>2.5</v>
      </c>
      <c r="I237" s="277"/>
      <c r="J237" s="18">
        <f t="shared" si="14"/>
        <v>52.5</v>
      </c>
      <c r="K237" s="35"/>
      <c r="L237" s="36">
        <f t="shared" si="15"/>
        <v>0</v>
      </c>
      <c r="M237" s="215"/>
      <c r="N237" s="6"/>
    </row>
    <row r="238" spans="1:14" ht="15.75">
      <c r="A238" s="11">
        <f t="shared" si="11"/>
        <v>232</v>
      </c>
      <c r="B238" s="333" t="s">
        <v>1021</v>
      </c>
      <c r="C238" s="19"/>
      <c r="D238" s="19"/>
      <c r="E238" s="316" t="s">
        <v>1022</v>
      </c>
      <c r="F238" s="281">
        <v>52.5</v>
      </c>
      <c r="G238" s="274">
        <v>50</v>
      </c>
      <c r="H238" s="275">
        <v>2.5</v>
      </c>
      <c r="I238" s="277"/>
      <c r="J238" s="18">
        <f t="shared" si="14"/>
        <v>52.5</v>
      </c>
      <c r="K238" s="35"/>
      <c r="L238" s="36">
        <f t="shared" si="15"/>
        <v>0</v>
      </c>
      <c r="M238" s="215"/>
      <c r="N238" s="6"/>
    </row>
    <row r="239" spans="1:14" ht="16.5" thickBot="1">
      <c r="A239" s="11">
        <f t="shared" si="11"/>
        <v>233</v>
      </c>
      <c r="B239" s="333" t="s">
        <v>1023</v>
      </c>
      <c r="C239" s="19"/>
      <c r="D239" s="19"/>
      <c r="E239" s="316" t="s">
        <v>1046</v>
      </c>
      <c r="F239" s="281">
        <v>52.5</v>
      </c>
      <c r="G239" s="274">
        <v>50</v>
      </c>
      <c r="H239" s="275">
        <v>2.5</v>
      </c>
      <c r="I239" s="277"/>
      <c r="J239" s="18">
        <f t="shared" si="14"/>
        <v>52.5</v>
      </c>
      <c r="K239" s="35"/>
      <c r="L239" s="36">
        <f t="shared" si="15"/>
        <v>0</v>
      </c>
      <c r="M239" s="215"/>
      <c r="N239" s="40"/>
    </row>
    <row r="240" spans="1:14" ht="16.5" thickBot="1">
      <c r="A240" s="349"/>
      <c r="B240" s="64"/>
      <c r="C240" s="64"/>
      <c r="D240" s="350"/>
      <c r="E240" s="364" t="s">
        <v>795</v>
      </c>
      <c r="F240" s="253">
        <f>SUM(F7:F239)</f>
        <v>27935.98</v>
      </c>
      <c r="G240" s="253">
        <f t="shared" ref="G240:H240" si="16">SUM(G7:G239)</f>
        <v>24805.16</v>
      </c>
      <c r="H240" s="253">
        <f t="shared" si="16"/>
        <v>1230.4000000000001</v>
      </c>
      <c r="I240" s="253">
        <f>SUM(I7:I239)</f>
        <v>1900.42</v>
      </c>
      <c r="J240" s="253">
        <f t="shared" ref="J240" si="17">SUM(J7:J239)</f>
        <v>27935.98</v>
      </c>
      <c r="K240" s="253">
        <f t="shared" ref="K240:L240" si="18">SUM(K7:K239)</f>
        <v>0</v>
      </c>
      <c r="L240" s="253">
        <f t="shared" si="18"/>
        <v>-1.4210854715202004E-14</v>
      </c>
      <c r="M240" s="219"/>
      <c r="N240" s="58"/>
    </row>
    <row r="241" spans="1:14" ht="16.5" thickBot="1">
      <c r="A241" s="66"/>
      <c r="B241" s="67"/>
      <c r="C241" s="198"/>
      <c r="D241" s="198"/>
      <c r="E241" s="67"/>
      <c r="F241" s="254"/>
      <c r="G241" s="68"/>
      <c r="H241" s="68"/>
      <c r="I241" s="254"/>
      <c r="J241" s="68"/>
      <c r="K241" s="68"/>
      <c r="L241" s="68"/>
      <c r="M241" s="220"/>
      <c r="N241" s="59" t="s">
        <v>525</v>
      </c>
    </row>
    <row r="242" spans="1:14" ht="16.5" thickBot="1">
      <c r="A242" s="150"/>
      <c r="B242" s="151" t="s">
        <v>796</v>
      </c>
      <c r="C242" s="151"/>
      <c r="D242" s="337"/>
      <c r="E242" s="365"/>
      <c r="F242" s="255"/>
      <c r="G242" s="239"/>
      <c r="H242" s="239"/>
      <c r="I242" s="255"/>
      <c r="J242" s="239"/>
      <c r="K242" s="239"/>
      <c r="L242" s="239"/>
      <c r="M242" s="240"/>
      <c r="N242" s="60" t="s">
        <v>79</v>
      </c>
    </row>
    <row r="243" spans="1:14" ht="15.75">
      <c r="A243" s="136">
        <v>1</v>
      </c>
      <c r="B243" s="19" t="s">
        <v>797</v>
      </c>
      <c r="C243" s="19" t="s">
        <v>1029</v>
      </c>
      <c r="D243" s="19">
        <v>101243</v>
      </c>
      <c r="E243" s="366" t="s">
        <v>294</v>
      </c>
      <c r="F243" s="14">
        <v>341.25</v>
      </c>
      <c r="G243" s="53">
        <v>325</v>
      </c>
      <c r="H243" s="54">
        <v>16.25</v>
      </c>
      <c r="I243" s="248"/>
      <c r="J243" s="18">
        <f>SUM(G243:I243)</f>
        <v>341.25</v>
      </c>
      <c r="K243" s="77"/>
      <c r="L243" s="33">
        <f t="shared" ref="L243:L303" si="19">+(F243-((SUM(J243+K243))))</f>
        <v>0</v>
      </c>
      <c r="M243" s="215"/>
      <c r="N243" s="40"/>
    </row>
    <row r="244" spans="1:14" ht="15.75">
      <c r="A244" s="136">
        <f>1+A243</f>
        <v>2</v>
      </c>
      <c r="B244" s="19" t="s">
        <v>798</v>
      </c>
      <c r="C244" s="19" t="s">
        <v>1029</v>
      </c>
      <c r="D244" s="19">
        <v>101013</v>
      </c>
      <c r="E244" s="366" t="s">
        <v>297</v>
      </c>
      <c r="F244" s="14">
        <v>210</v>
      </c>
      <c r="G244" s="53">
        <v>200</v>
      </c>
      <c r="H244" s="54">
        <v>10</v>
      </c>
      <c r="I244" s="248"/>
      <c r="J244" s="18">
        <f>SUM(G244:I244)</f>
        <v>210</v>
      </c>
      <c r="K244" s="77"/>
      <c r="L244" s="33">
        <f t="shared" si="19"/>
        <v>0</v>
      </c>
      <c r="M244" s="215"/>
      <c r="N244" s="40"/>
    </row>
    <row r="245" spans="1:14" ht="15.75">
      <c r="A245" s="136">
        <f t="shared" ref="A245:A302" si="20">1+A244</f>
        <v>3</v>
      </c>
      <c r="B245" s="116" t="s">
        <v>799</v>
      </c>
      <c r="C245" s="19" t="s">
        <v>1029</v>
      </c>
      <c r="D245" s="19">
        <v>101879</v>
      </c>
      <c r="E245" s="356" t="s">
        <v>800</v>
      </c>
      <c r="F245" s="14">
        <v>52.5</v>
      </c>
      <c r="G245" s="74">
        <v>50</v>
      </c>
      <c r="H245" s="54">
        <v>2.5</v>
      </c>
      <c r="I245" s="14"/>
      <c r="J245" s="18">
        <f t="shared" ref="J245:J250" si="21">SUM(G245:I245)</f>
        <v>52.5</v>
      </c>
      <c r="K245" s="32"/>
      <c r="L245" s="33">
        <f t="shared" si="19"/>
        <v>0</v>
      </c>
      <c r="M245" s="215"/>
      <c r="N245" s="40"/>
    </row>
    <row r="246" spans="1:14" ht="15.75">
      <c r="A246" s="136">
        <f t="shared" si="20"/>
        <v>4</v>
      </c>
      <c r="B246" s="19" t="s">
        <v>813</v>
      </c>
      <c r="C246" s="19" t="s">
        <v>1029</v>
      </c>
      <c r="D246" s="19">
        <v>101056</v>
      </c>
      <c r="E246" s="356" t="s">
        <v>101</v>
      </c>
      <c r="F246" s="14">
        <v>52.5</v>
      </c>
      <c r="G246" s="74">
        <v>50</v>
      </c>
      <c r="H246" s="75">
        <v>2.5</v>
      </c>
      <c r="I246" s="14"/>
      <c r="J246" s="18">
        <f t="shared" si="21"/>
        <v>52.5</v>
      </c>
      <c r="K246" s="32"/>
      <c r="L246" s="33">
        <f t="shared" si="19"/>
        <v>0</v>
      </c>
      <c r="M246" s="215"/>
      <c r="N246" s="40"/>
    </row>
    <row r="247" spans="1:14" ht="15.75">
      <c r="A247" s="136">
        <f t="shared" si="20"/>
        <v>5</v>
      </c>
      <c r="B247" s="19" t="s">
        <v>801</v>
      </c>
      <c r="C247" s="19" t="s">
        <v>1029</v>
      </c>
      <c r="D247" s="19">
        <v>101332</v>
      </c>
      <c r="E247" s="355" t="s">
        <v>82</v>
      </c>
      <c r="F247" s="14">
        <v>255.93</v>
      </c>
      <c r="G247" s="74">
        <v>160</v>
      </c>
      <c r="H247" s="75">
        <v>8.15</v>
      </c>
      <c r="I247" s="14">
        <v>49.9</v>
      </c>
      <c r="J247" s="18">
        <f t="shared" si="21"/>
        <v>218.05</v>
      </c>
      <c r="K247" s="32">
        <v>37.880000000000003</v>
      </c>
      <c r="L247" s="33">
        <f t="shared" si="19"/>
        <v>0</v>
      </c>
      <c r="M247" s="37"/>
      <c r="N247" s="195"/>
    </row>
    <row r="248" spans="1:14" ht="15.75">
      <c r="A248" s="136">
        <f t="shared" si="20"/>
        <v>6</v>
      </c>
      <c r="B248" s="19" t="s">
        <v>802</v>
      </c>
      <c r="C248" s="19" t="s">
        <v>1029</v>
      </c>
      <c r="D248" s="19">
        <v>101844</v>
      </c>
      <c r="E248" s="355" t="s">
        <v>803</v>
      </c>
      <c r="F248" s="14">
        <v>52.5</v>
      </c>
      <c r="G248" s="74">
        <v>50</v>
      </c>
      <c r="H248" s="75">
        <v>2.5</v>
      </c>
      <c r="I248" s="14"/>
      <c r="J248" s="18">
        <f t="shared" si="21"/>
        <v>52.5</v>
      </c>
      <c r="K248" s="32"/>
      <c r="L248" s="33">
        <f t="shared" si="19"/>
        <v>0</v>
      </c>
      <c r="M248" s="215"/>
      <c r="N248" s="194"/>
    </row>
    <row r="249" spans="1:14" ht="15.75">
      <c r="A249" s="136">
        <f t="shared" si="20"/>
        <v>7</v>
      </c>
      <c r="B249" s="19" t="s">
        <v>804</v>
      </c>
      <c r="C249" s="19" t="s">
        <v>1029</v>
      </c>
      <c r="D249" s="19">
        <v>101036</v>
      </c>
      <c r="E249" s="355" t="s">
        <v>805</v>
      </c>
      <c r="F249" s="14">
        <v>105</v>
      </c>
      <c r="G249" s="53">
        <v>100</v>
      </c>
      <c r="H249" s="54">
        <v>5</v>
      </c>
      <c r="I249" s="248"/>
      <c r="J249" s="18">
        <f t="shared" si="21"/>
        <v>105</v>
      </c>
      <c r="K249" s="32"/>
      <c r="L249" s="33">
        <f t="shared" si="19"/>
        <v>0</v>
      </c>
      <c r="M249" s="215"/>
      <c r="N249" s="6" t="s">
        <v>539</v>
      </c>
    </row>
    <row r="250" spans="1:14" ht="15.75">
      <c r="A250" s="136">
        <f t="shared" si="20"/>
        <v>8</v>
      </c>
      <c r="B250" s="30" t="s">
        <v>806</v>
      </c>
      <c r="C250" s="19" t="s">
        <v>1029</v>
      </c>
      <c r="D250" s="19">
        <v>101727</v>
      </c>
      <c r="E250" s="315" t="s">
        <v>807</v>
      </c>
      <c r="F250" s="249">
        <v>105</v>
      </c>
      <c r="G250" s="74">
        <v>100</v>
      </c>
      <c r="H250" s="75">
        <v>5</v>
      </c>
      <c r="I250" s="249"/>
      <c r="J250" s="18">
        <f t="shared" si="21"/>
        <v>105</v>
      </c>
      <c r="K250" s="32"/>
      <c r="L250" s="33">
        <f t="shared" si="19"/>
        <v>0</v>
      </c>
      <c r="M250" s="215"/>
      <c r="N250" s="6" t="s">
        <v>542</v>
      </c>
    </row>
    <row r="251" spans="1:14" ht="15.75">
      <c r="A251" s="136">
        <f t="shared" si="20"/>
        <v>9</v>
      </c>
      <c r="B251" s="19" t="s">
        <v>808</v>
      </c>
      <c r="C251" s="19" t="s">
        <v>1029</v>
      </c>
      <c r="D251" s="19">
        <v>101709</v>
      </c>
      <c r="E251" s="355" t="s">
        <v>809</v>
      </c>
      <c r="F251" s="14">
        <v>105</v>
      </c>
      <c r="G251" s="74">
        <v>100</v>
      </c>
      <c r="H251" s="75">
        <v>5</v>
      </c>
      <c r="I251" s="14"/>
      <c r="J251" s="18">
        <f t="shared" ref="J251:J290" si="22">SUM(G251+H251+I251)</f>
        <v>105</v>
      </c>
      <c r="K251" s="32"/>
      <c r="L251" s="33">
        <f t="shared" si="19"/>
        <v>0</v>
      </c>
      <c r="M251" s="37"/>
      <c r="N251" s="40"/>
    </row>
    <row r="252" spans="1:14" ht="15.75">
      <c r="A252" s="136">
        <f t="shared" si="20"/>
        <v>10</v>
      </c>
      <c r="B252" s="19" t="s">
        <v>810</v>
      </c>
      <c r="C252" s="19" t="s">
        <v>1029</v>
      </c>
      <c r="D252" s="19">
        <v>101563</v>
      </c>
      <c r="E252" s="356" t="s">
        <v>811</v>
      </c>
      <c r="F252" s="14">
        <v>52.5</v>
      </c>
      <c r="G252" s="20">
        <v>50</v>
      </c>
      <c r="H252" s="21">
        <v>2.5</v>
      </c>
      <c r="I252" s="14"/>
      <c r="J252" s="18">
        <f t="shared" si="22"/>
        <v>52.5</v>
      </c>
      <c r="K252" s="32"/>
      <c r="L252" s="33">
        <f t="shared" si="19"/>
        <v>0</v>
      </c>
      <c r="M252" s="215"/>
      <c r="N252" s="40"/>
    </row>
    <row r="253" spans="1:14" ht="15.75">
      <c r="A253" s="136">
        <f t="shared" si="20"/>
        <v>11</v>
      </c>
      <c r="B253" s="28" t="s">
        <v>815</v>
      </c>
      <c r="C253" s="55" t="s">
        <v>1029</v>
      </c>
      <c r="D253" s="19">
        <v>101894</v>
      </c>
      <c r="E253" s="367" t="s">
        <v>816</v>
      </c>
      <c r="F253" s="14">
        <v>52.5</v>
      </c>
      <c r="G253" s="74">
        <v>50</v>
      </c>
      <c r="H253" s="241">
        <v>2.5</v>
      </c>
      <c r="I253" s="14"/>
      <c r="J253" s="18">
        <f>SUM(G253+H253+I253)</f>
        <v>52.5</v>
      </c>
      <c r="K253" s="32"/>
      <c r="L253" s="33">
        <f>+(F253-((SUM(J253+K253))))</f>
        <v>0</v>
      </c>
      <c r="M253" s="218"/>
      <c r="N253" s="40"/>
    </row>
    <row r="254" spans="1:14" ht="15.75">
      <c r="A254" s="136">
        <f t="shared" si="20"/>
        <v>12</v>
      </c>
      <c r="B254" s="19" t="s">
        <v>812</v>
      </c>
      <c r="C254" s="19" t="s">
        <v>1029</v>
      </c>
      <c r="D254" s="19">
        <v>101051</v>
      </c>
      <c r="E254" s="355" t="s">
        <v>91</v>
      </c>
      <c r="F254" s="14">
        <v>105</v>
      </c>
      <c r="G254" s="74">
        <v>100</v>
      </c>
      <c r="H254" s="75">
        <v>5</v>
      </c>
      <c r="I254" s="14"/>
      <c r="J254" s="18">
        <f t="shared" si="22"/>
        <v>105</v>
      </c>
      <c r="K254" s="32"/>
      <c r="L254" s="33">
        <f t="shared" si="19"/>
        <v>0</v>
      </c>
      <c r="M254" s="215"/>
      <c r="N254" s="6"/>
    </row>
    <row r="255" spans="1:14" ht="15.75">
      <c r="A255" s="136">
        <f t="shared" si="20"/>
        <v>13</v>
      </c>
      <c r="B255" s="19" t="s">
        <v>817</v>
      </c>
      <c r="C255" s="19" t="s">
        <v>1029</v>
      </c>
      <c r="D255" s="19">
        <v>101261</v>
      </c>
      <c r="E255" s="356" t="s">
        <v>99</v>
      </c>
      <c r="F255" s="14">
        <v>105</v>
      </c>
      <c r="G255" s="74">
        <v>100</v>
      </c>
      <c r="H255" s="75">
        <v>5</v>
      </c>
      <c r="I255" s="14"/>
      <c r="J255" s="18">
        <f>SUM(G255+H255+I255)</f>
        <v>105</v>
      </c>
      <c r="K255" s="32"/>
      <c r="L255" s="33">
        <f>+(F255-((SUM(J255+K255))))</f>
        <v>0</v>
      </c>
      <c r="M255" s="215"/>
      <c r="N255" s="40"/>
    </row>
    <row r="256" spans="1:14" ht="15.75">
      <c r="A256" s="136">
        <f t="shared" si="20"/>
        <v>14</v>
      </c>
      <c r="B256" s="30" t="s">
        <v>814</v>
      </c>
      <c r="C256" s="19" t="s">
        <v>1029</v>
      </c>
      <c r="D256" s="19">
        <v>101300</v>
      </c>
      <c r="E256" s="359" t="s">
        <v>115</v>
      </c>
      <c r="F256" s="249">
        <v>105</v>
      </c>
      <c r="G256" s="74">
        <v>100</v>
      </c>
      <c r="H256" s="75">
        <v>5</v>
      </c>
      <c r="I256" s="249"/>
      <c r="J256" s="25">
        <f t="shared" si="22"/>
        <v>105</v>
      </c>
      <c r="K256" s="35"/>
      <c r="L256" s="33">
        <f t="shared" si="19"/>
        <v>0</v>
      </c>
      <c r="M256" s="37"/>
      <c r="N256" s="195"/>
    </row>
    <row r="257" spans="1:14" ht="15.75">
      <c r="A257" s="136">
        <f t="shared" si="20"/>
        <v>15</v>
      </c>
      <c r="B257" s="19" t="s">
        <v>818</v>
      </c>
      <c r="C257" s="19" t="s">
        <v>1029</v>
      </c>
      <c r="D257" s="19">
        <v>101023</v>
      </c>
      <c r="E257" s="355" t="s">
        <v>819</v>
      </c>
      <c r="F257" s="14">
        <v>210</v>
      </c>
      <c r="G257" s="53">
        <v>200</v>
      </c>
      <c r="H257" s="54">
        <v>10</v>
      </c>
      <c r="I257" s="248"/>
      <c r="J257" s="25">
        <f t="shared" si="22"/>
        <v>210</v>
      </c>
      <c r="K257" s="32"/>
      <c r="L257" s="33">
        <f t="shared" si="19"/>
        <v>0</v>
      </c>
      <c r="M257" s="37"/>
      <c r="N257" s="6"/>
    </row>
    <row r="258" spans="1:14" ht="15.75">
      <c r="A258" s="136">
        <f t="shared" si="20"/>
        <v>16</v>
      </c>
      <c r="B258" s="30" t="s">
        <v>820</v>
      </c>
      <c r="C258" s="19" t="s">
        <v>1029</v>
      </c>
      <c r="D258" s="19">
        <v>101014</v>
      </c>
      <c r="E258" s="315" t="s">
        <v>821</v>
      </c>
      <c r="F258" s="249">
        <v>210</v>
      </c>
      <c r="G258" s="74">
        <v>200</v>
      </c>
      <c r="H258" s="75">
        <v>10</v>
      </c>
      <c r="I258" s="248"/>
      <c r="J258" s="25">
        <f t="shared" si="22"/>
        <v>210</v>
      </c>
      <c r="K258" s="76"/>
      <c r="L258" s="36">
        <f t="shared" si="19"/>
        <v>0</v>
      </c>
      <c r="M258" s="37"/>
      <c r="N258" s="194"/>
    </row>
    <row r="259" spans="1:14" ht="15.75">
      <c r="A259" s="136">
        <f t="shared" si="20"/>
        <v>17</v>
      </c>
      <c r="B259" s="19" t="s">
        <v>824</v>
      </c>
      <c r="C259" s="19" t="s">
        <v>1029</v>
      </c>
      <c r="D259" s="19">
        <v>101693</v>
      </c>
      <c r="E259" s="355" t="s">
        <v>1030</v>
      </c>
      <c r="F259" s="14">
        <v>105</v>
      </c>
      <c r="G259" s="53">
        <v>100</v>
      </c>
      <c r="H259" s="54">
        <v>5</v>
      </c>
      <c r="I259" s="248"/>
      <c r="J259" s="25">
        <f t="shared" si="22"/>
        <v>105</v>
      </c>
      <c r="K259" s="77"/>
      <c r="L259" s="33">
        <f t="shared" si="19"/>
        <v>0</v>
      </c>
      <c r="M259" s="215"/>
      <c r="N259" s="6" t="s">
        <v>557</v>
      </c>
    </row>
    <row r="260" spans="1:14" ht="15.75">
      <c r="A260" s="136">
        <f t="shared" si="20"/>
        <v>18</v>
      </c>
      <c r="B260" s="12" t="s">
        <v>826</v>
      </c>
      <c r="C260" s="19" t="s">
        <v>1029</v>
      </c>
      <c r="D260" s="19">
        <v>105482</v>
      </c>
      <c r="E260" s="355" t="s">
        <v>1042</v>
      </c>
      <c r="F260" s="14">
        <v>105</v>
      </c>
      <c r="G260" s="74">
        <v>100</v>
      </c>
      <c r="H260" s="75">
        <v>5</v>
      </c>
      <c r="I260" s="14"/>
      <c r="J260" s="25">
        <f t="shared" si="22"/>
        <v>105</v>
      </c>
      <c r="K260" s="32"/>
      <c r="L260" s="33">
        <f t="shared" si="19"/>
        <v>0</v>
      </c>
      <c r="M260" s="215"/>
      <c r="N260" s="6" t="s">
        <v>559</v>
      </c>
    </row>
    <row r="261" spans="1:14" ht="15.75">
      <c r="A261" s="136">
        <f t="shared" si="20"/>
        <v>19</v>
      </c>
      <c r="B261" s="333" t="s">
        <v>1011</v>
      </c>
      <c r="C261" s="19" t="s">
        <v>1029</v>
      </c>
      <c r="D261" s="19"/>
      <c r="E261" s="316" t="s">
        <v>1059</v>
      </c>
      <c r="F261" s="281">
        <v>105</v>
      </c>
      <c r="G261" s="274">
        <v>100</v>
      </c>
      <c r="H261" s="275">
        <v>5</v>
      </c>
      <c r="I261" s="277"/>
      <c r="J261" s="18">
        <f>SUM(G261+H261+I261)</f>
        <v>105</v>
      </c>
      <c r="K261" s="35"/>
      <c r="L261" s="36">
        <f>+(F261-((SUM(J261+K261))))</f>
        <v>0</v>
      </c>
      <c r="M261" s="215"/>
      <c r="N261" s="6"/>
    </row>
    <row r="262" spans="1:14" ht="15.75">
      <c r="A262" s="136">
        <f t="shared" si="20"/>
        <v>20</v>
      </c>
      <c r="B262" s="145" t="s">
        <v>831</v>
      </c>
      <c r="C262" s="145" t="s">
        <v>1029</v>
      </c>
      <c r="D262" s="19">
        <v>101692</v>
      </c>
      <c r="E262" s="368" t="s">
        <v>210</v>
      </c>
      <c r="F262" s="256">
        <v>144.01</v>
      </c>
      <c r="G262" s="70">
        <v>100</v>
      </c>
      <c r="H262" s="71">
        <v>5</v>
      </c>
      <c r="I262" s="256">
        <v>39.01</v>
      </c>
      <c r="J262" s="25">
        <f t="shared" si="22"/>
        <v>144.01</v>
      </c>
      <c r="K262" s="146"/>
      <c r="L262" s="47">
        <f t="shared" si="19"/>
        <v>0</v>
      </c>
      <c r="M262" s="215"/>
    </row>
    <row r="263" spans="1:14" ht="15.75">
      <c r="A263" s="136">
        <f t="shared" si="20"/>
        <v>21</v>
      </c>
      <c r="B263" s="19" t="s">
        <v>832</v>
      </c>
      <c r="C263" s="19" t="s">
        <v>1029</v>
      </c>
      <c r="D263" s="19">
        <v>101719</v>
      </c>
      <c r="E263" s="356" t="s">
        <v>833</v>
      </c>
      <c r="F263" s="14">
        <v>225.73</v>
      </c>
      <c r="G263" s="74">
        <v>125</v>
      </c>
      <c r="H263" s="75">
        <v>6.25</v>
      </c>
      <c r="I263" s="14">
        <v>94.48</v>
      </c>
      <c r="J263" s="25">
        <f t="shared" si="22"/>
        <v>225.73000000000002</v>
      </c>
      <c r="K263" s="32"/>
      <c r="L263" s="33">
        <f t="shared" si="19"/>
        <v>-2.8421709430404007E-14</v>
      </c>
      <c r="M263" s="215"/>
    </row>
    <row r="264" spans="1:14" ht="15.75">
      <c r="A264" s="136">
        <f t="shared" si="20"/>
        <v>22</v>
      </c>
      <c r="B264" s="19" t="s">
        <v>836</v>
      </c>
      <c r="C264" s="19" t="s">
        <v>1029</v>
      </c>
      <c r="D264" s="19">
        <v>101734</v>
      </c>
      <c r="E264" s="355" t="s">
        <v>381</v>
      </c>
      <c r="F264" s="14">
        <v>170.93</v>
      </c>
      <c r="G264" s="20">
        <v>100</v>
      </c>
      <c r="H264" s="21">
        <v>5</v>
      </c>
      <c r="I264" s="14">
        <v>65.930000000000007</v>
      </c>
      <c r="J264" s="25">
        <f t="shared" si="22"/>
        <v>170.93</v>
      </c>
      <c r="K264" s="32"/>
      <c r="L264" s="33">
        <f t="shared" si="19"/>
        <v>0</v>
      </c>
      <c r="M264" s="215"/>
      <c r="N264" s="6"/>
    </row>
    <row r="265" spans="1:14" ht="15.75">
      <c r="A265" s="136">
        <f t="shared" si="20"/>
        <v>23</v>
      </c>
      <c r="B265" s="132" t="s">
        <v>837</v>
      </c>
      <c r="C265" s="19" t="s">
        <v>1029</v>
      </c>
      <c r="D265" s="197">
        <v>101911</v>
      </c>
      <c r="E265" s="356" t="s">
        <v>838</v>
      </c>
      <c r="F265" s="14">
        <v>105</v>
      </c>
      <c r="G265" s="238">
        <v>100</v>
      </c>
      <c r="H265" s="131">
        <v>5</v>
      </c>
      <c r="I265" s="14"/>
      <c r="J265" s="25">
        <f t="shared" si="22"/>
        <v>105</v>
      </c>
      <c r="K265" s="32"/>
      <c r="L265" s="33">
        <f t="shared" si="19"/>
        <v>0</v>
      </c>
      <c r="M265" s="42"/>
      <c r="N265" s="6"/>
    </row>
    <row r="266" spans="1:14" ht="15.75">
      <c r="A266" s="136">
        <f t="shared" si="20"/>
        <v>24</v>
      </c>
      <c r="B266" s="19" t="s">
        <v>839</v>
      </c>
      <c r="C266" s="19" t="s">
        <v>1029</v>
      </c>
      <c r="D266" s="19">
        <v>101729</v>
      </c>
      <c r="E266" s="355" t="s">
        <v>840</v>
      </c>
      <c r="F266" s="14">
        <v>169.17</v>
      </c>
      <c r="G266" s="20">
        <v>100</v>
      </c>
      <c r="H266" s="21">
        <v>5</v>
      </c>
      <c r="I266" s="14">
        <v>64.17</v>
      </c>
      <c r="J266" s="25">
        <f t="shared" si="22"/>
        <v>169.17000000000002</v>
      </c>
      <c r="K266" s="32"/>
      <c r="L266" s="33">
        <f t="shared" si="19"/>
        <v>-2.8421709430404007E-14</v>
      </c>
      <c r="M266" s="215"/>
      <c r="N266" s="6"/>
    </row>
    <row r="267" spans="1:14" ht="15.75">
      <c r="A267" s="136">
        <f t="shared" si="20"/>
        <v>25</v>
      </c>
      <c r="B267" s="19" t="s">
        <v>841</v>
      </c>
      <c r="C267" s="19" t="s">
        <v>1029</v>
      </c>
      <c r="D267" s="19">
        <v>101275</v>
      </c>
      <c r="E267" s="356" t="s">
        <v>842</v>
      </c>
      <c r="F267" s="14">
        <v>105</v>
      </c>
      <c r="G267" s="53">
        <v>100</v>
      </c>
      <c r="H267" s="54">
        <v>5</v>
      </c>
      <c r="I267" s="248"/>
      <c r="J267" s="25">
        <f t="shared" si="22"/>
        <v>105</v>
      </c>
      <c r="K267" s="61"/>
      <c r="L267" s="33">
        <f t="shared" si="19"/>
        <v>0</v>
      </c>
      <c r="M267" s="37"/>
      <c r="N267" s="6"/>
    </row>
    <row r="268" spans="1:14" ht="15.75">
      <c r="A268" s="136">
        <f t="shared" si="20"/>
        <v>26</v>
      </c>
      <c r="B268" s="132" t="s">
        <v>843</v>
      </c>
      <c r="C268" s="197" t="s">
        <v>1029</v>
      </c>
      <c r="D268" s="197">
        <v>105048</v>
      </c>
      <c r="E268" s="356" t="s">
        <v>844</v>
      </c>
      <c r="F268" s="14">
        <v>103.74</v>
      </c>
      <c r="G268" s="238">
        <v>50</v>
      </c>
      <c r="H268" s="131">
        <v>2.5</v>
      </c>
      <c r="I268" s="14">
        <v>51.24</v>
      </c>
      <c r="J268" s="25">
        <f t="shared" si="22"/>
        <v>103.74000000000001</v>
      </c>
      <c r="K268" s="32"/>
      <c r="L268" s="33">
        <f t="shared" si="19"/>
        <v>-1.4210854715202004E-14</v>
      </c>
      <c r="M268" s="215"/>
      <c r="N268" s="6"/>
    </row>
    <row r="269" spans="1:14" ht="15.75">
      <c r="A269" s="136">
        <f t="shared" si="20"/>
        <v>27</v>
      </c>
      <c r="B269" s="19" t="s">
        <v>44</v>
      </c>
      <c r="C269" s="19" t="s">
        <v>1029</v>
      </c>
      <c r="D269" s="19">
        <v>101743</v>
      </c>
      <c r="E269" s="356" t="s">
        <v>845</v>
      </c>
      <c r="F269" s="14">
        <v>195.93</v>
      </c>
      <c r="G269" s="53">
        <v>100</v>
      </c>
      <c r="H269" s="54">
        <v>5</v>
      </c>
      <c r="I269" s="14">
        <v>90.93</v>
      </c>
      <c r="J269" s="25">
        <f t="shared" si="22"/>
        <v>195.93</v>
      </c>
      <c r="K269" s="32"/>
      <c r="L269" s="33">
        <f t="shared" si="19"/>
        <v>0</v>
      </c>
      <c r="M269" s="215"/>
      <c r="N269" s="6"/>
    </row>
    <row r="270" spans="1:14" ht="15.75">
      <c r="A270" s="136">
        <f t="shared" si="20"/>
        <v>28</v>
      </c>
      <c r="B270" s="19" t="s">
        <v>846</v>
      </c>
      <c r="C270" s="19" t="s">
        <v>1029</v>
      </c>
      <c r="D270" s="19">
        <v>101572</v>
      </c>
      <c r="E270" s="356" t="s">
        <v>335</v>
      </c>
      <c r="F270" s="14">
        <v>105</v>
      </c>
      <c r="G270" s="74">
        <v>100</v>
      </c>
      <c r="H270" s="75">
        <v>5</v>
      </c>
      <c r="I270" s="257"/>
      <c r="J270" s="25">
        <f t="shared" si="22"/>
        <v>105</v>
      </c>
      <c r="K270" s="32"/>
      <c r="L270" s="33">
        <f t="shared" si="19"/>
        <v>0</v>
      </c>
      <c r="M270" s="37"/>
      <c r="N270" s="6"/>
    </row>
    <row r="271" spans="1:14" ht="15.75">
      <c r="A271" s="136">
        <f t="shared" si="20"/>
        <v>29</v>
      </c>
      <c r="B271" s="30" t="s">
        <v>847</v>
      </c>
      <c r="C271" s="19" t="s">
        <v>1029</v>
      </c>
      <c r="D271" s="19">
        <v>101106</v>
      </c>
      <c r="E271" s="359" t="s">
        <v>337</v>
      </c>
      <c r="F271" s="249">
        <v>105</v>
      </c>
      <c r="G271" s="74">
        <v>100</v>
      </c>
      <c r="H271" s="75">
        <v>5</v>
      </c>
      <c r="I271" s="248"/>
      <c r="J271" s="25">
        <f t="shared" si="22"/>
        <v>105</v>
      </c>
      <c r="K271" s="35"/>
      <c r="L271" s="33">
        <f t="shared" si="19"/>
        <v>0</v>
      </c>
      <c r="M271" s="37"/>
      <c r="N271" s="6"/>
    </row>
    <row r="272" spans="1:14" ht="15.75">
      <c r="A272" s="136">
        <f t="shared" si="20"/>
        <v>30</v>
      </c>
      <c r="B272" s="19" t="s">
        <v>848</v>
      </c>
      <c r="C272" s="19" t="s">
        <v>1029</v>
      </c>
      <c r="D272" s="19">
        <v>101700</v>
      </c>
      <c r="E272" s="356" t="s">
        <v>339</v>
      </c>
      <c r="F272" s="14">
        <v>105</v>
      </c>
      <c r="G272" s="74">
        <v>100</v>
      </c>
      <c r="H272" s="75">
        <v>5</v>
      </c>
      <c r="I272" s="248"/>
      <c r="J272" s="25">
        <f t="shared" si="22"/>
        <v>105</v>
      </c>
      <c r="K272" s="32"/>
      <c r="L272" s="33">
        <f t="shared" si="19"/>
        <v>0</v>
      </c>
      <c r="M272" s="37"/>
      <c r="N272" s="40"/>
    </row>
    <row r="273" spans="1:14" ht="15.75">
      <c r="A273" s="136">
        <f t="shared" si="20"/>
        <v>31</v>
      </c>
      <c r="B273" s="19" t="s">
        <v>849</v>
      </c>
      <c r="C273" s="19" t="s">
        <v>1029</v>
      </c>
      <c r="D273" s="19">
        <v>101319</v>
      </c>
      <c r="E273" s="356" t="s">
        <v>113</v>
      </c>
      <c r="F273" s="14">
        <v>52.5</v>
      </c>
      <c r="G273" s="74">
        <v>50</v>
      </c>
      <c r="H273" s="75">
        <v>2.5</v>
      </c>
      <c r="I273" s="14"/>
      <c r="J273" s="25">
        <f t="shared" si="22"/>
        <v>52.5</v>
      </c>
      <c r="K273" s="32"/>
      <c r="L273" s="33">
        <f t="shared" si="19"/>
        <v>0</v>
      </c>
      <c r="M273" s="215"/>
      <c r="N273" s="6"/>
    </row>
    <row r="274" spans="1:14" ht="15.75">
      <c r="A274" s="136">
        <f t="shared" si="20"/>
        <v>32</v>
      </c>
      <c r="B274" s="19" t="s">
        <v>854</v>
      </c>
      <c r="C274" s="19" t="s">
        <v>1029</v>
      </c>
      <c r="D274" s="19">
        <v>101725</v>
      </c>
      <c r="E274" s="355" t="s">
        <v>855</v>
      </c>
      <c r="F274" s="14">
        <v>105</v>
      </c>
      <c r="G274" s="20">
        <v>100</v>
      </c>
      <c r="H274" s="21">
        <v>5</v>
      </c>
      <c r="I274" s="14"/>
      <c r="J274" s="25">
        <f t="shared" si="22"/>
        <v>105</v>
      </c>
      <c r="K274" s="32"/>
      <c r="L274" s="33">
        <f t="shared" si="19"/>
        <v>0</v>
      </c>
      <c r="M274" s="215"/>
      <c r="N274" s="6"/>
    </row>
    <row r="275" spans="1:14" ht="15.75">
      <c r="A275" s="136">
        <f t="shared" si="20"/>
        <v>33</v>
      </c>
      <c r="B275" s="19" t="s">
        <v>856</v>
      </c>
      <c r="C275" s="19" t="s">
        <v>1029</v>
      </c>
      <c r="D275" s="19">
        <v>101723</v>
      </c>
      <c r="E275" s="355" t="s">
        <v>857</v>
      </c>
      <c r="F275" s="14">
        <v>154.12</v>
      </c>
      <c r="G275" s="20">
        <v>100</v>
      </c>
      <c r="H275" s="21">
        <v>5</v>
      </c>
      <c r="I275" s="14">
        <v>49.12</v>
      </c>
      <c r="J275" s="25">
        <f t="shared" si="22"/>
        <v>154.12</v>
      </c>
      <c r="K275" s="32"/>
      <c r="L275" s="33">
        <f t="shared" si="19"/>
        <v>0</v>
      </c>
      <c r="M275" s="215"/>
      <c r="N275" s="40"/>
    </row>
    <row r="276" spans="1:14" ht="15.75">
      <c r="A276" s="136">
        <f t="shared" si="20"/>
        <v>34</v>
      </c>
      <c r="B276" s="19" t="s">
        <v>47</v>
      </c>
      <c r="C276" s="19" t="s">
        <v>1029</v>
      </c>
      <c r="D276" s="19">
        <v>101883</v>
      </c>
      <c r="E276" s="356" t="s">
        <v>859</v>
      </c>
      <c r="F276" s="14">
        <v>52.5</v>
      </c>
      <c r="G276" s="53">
        <v>50</v>
      </c>
      <c r="H276" s="54">
        <v>2.5</v>
      </c>
      <c r="I276" s="14"/>
      <c r="J276" s="25">
        <f t="shared" si="22"/>
        <v>52.5</v>
      </c>
      <c r="K276" s="32"/>
      <c r="L276" s="33">
        <f t="shared" si="19"/>
        <v>0</v>
      </c>
      <c r="M276" s="37"/>
      <c r="N276" s="6"/>
    </row>
    <row r="277" spans="1:14" ht="15.75">
      <c r="A277" s="136">
        <f t="shared" si="20"/>
        <v>35</v>
      </c>
      <c r="B277" s="19" t="s">
        <v>866</v>
      </c>
      <c r="C277" s="19" t="s">
        <v>1029</v>
      </c>
      <c r="D277" s="19">
        <v>101763</v>
      </c>
      <c r="E277" s="356" t="s">
        <v>867</v>
      </c>
      <c r="F277" s="14">
        <v>105</v>
      </c>
      <c r="G277" s="53">
        <v>100</v>
      </c>
      <c r="H277" s="54">
        <v>5</v>
      </c>
      <c r="I277" s="14"/>
      <c r="J277" s="25">
        <f t="shared" si="22"/>
        <v>105</v>
      </c>
      <c r="K277" s="32"/>
      <c r="L277" s="33">
        <f t="shared" si="19"/>
        <v>0</v>
      </c>
      <c r="M277" s="215"/>
      <c r="N277" s="6"/>
    </row>
    <row r="278" spans="1:14" ht="15.75">
      <c r="A278" s="136">
        <f t="shared" si="20"/>
        <v>36</v>
      </c>
      <c r="B278" s="19" t="s">
        <v>868</v>
      </c>
      <c r="C278" s="19" t="s">
        <v>1029</v>
      </c>
      <c r="D278" s="19">
        <v>101843</v>
      </c>
      <c r="E278" s="356" t="s">
        <v>869</v>
      </c>
      <c r="F278" s="14">
        <v>52.5</v>
      </c>
      <c r="G278" s="53">
        <v>50</v>
      </c>
      <c r="H278" s="54">
        <v>2.5</v>
      </c>
      <c r="I278" s="14"/>
      <c r="J278" s="25">
        <f t="shared" si="22"/>
        <v>52.5</v>
      </c>
      <c r="K278" s="32"/>
      <c r="L278" s="33">
        <f t="shared" si="19"/>
        <v>0</v>
      </c>
      <c r="M278" s="37"/>
      <c r="N278" s="40"/>
    </row>
    <row r="279" spans="1:14" ht="15.75">
      <c r="A279" s="136">
        <f t="shared" si="20"/>
        <v>37</v>
      </c>
      <c r="B279" s="19" t="s">
        <v>870</v>
      </c>
      <c r="C279" s="19" t="s">
        <v>1029</v>
      </c>
      <c r="D279" s="19">
        <v>101771</v>
      </c>
      <c r="E279" s="356" t="s">
        <v>871</v>
      </c>
      <c r="F279" s="14">
        <v>105</v>
      </c>
      <c r="G279" s="53">
        <v>100</v>
      </c>
      <c r="H279" s="54">
        <v>5</v>
      </c>
      <c r="I279" s="14"/>
      <c r="J279" s="25">
        <f t="shared" si="22"/>
        <v>105</v>
      </c>
      <c r="K279" s="32"/>
      <c r="L279" s="33">
        <f t="shared" si="19"/>
        <v>0</v>
      </c>
      <c r="M279" s="215"/>
      <c r="N279" s="40"/>
    </row>
    <row r="280" spans="1:14" ht="15.75">
      <c r="A280" s="136">
        <f t="shared" si="20"/>
        <v>38</v>
      </c>
      <c r="B280" s="19" t="s">
        <v>872</v>
      </c>
      <c r="C280" s="19" t="s">
        <v>1029</v>
      </c>
      <c r="D280" s="19">
        <v>101772</v>
      </c>
      <c r="E280" s="356" t="s">
        <v>873</v>
      </c>
      <c r="F280" s="14">
        <v>105</v>
      </c>
      <c r="G280" s="53">
        <v>100</v>
      </c>
      <c r="H280" s="54">
        <v>5</v>
      </c>
      <c r="I280" s="14"/>
      <c r="J280" s="25">
        <f t="shared" si="22"/>
        <v>105</v>
      </c>
      <c r="K280" s="32"/>
      <c r="L280" s="33">
        <f t="shared" si="19"/>
        <v>0</v>
      </c>
      <c r="M280" s="215"/>
      <c r="N280" s="40"/>
    </row>
    <row r="281" spans="1:14" ht="15.75">
      <c r="A281" s="136">
        <f t="shared" si="20"/>
        <v>39</v>
      </c>
      <c r="B281" s="19" t="s">
        <v>874</v>
      </c>
      <c r="C281" s="19" t="s">
        <v>1029</v>
      </c>
      <c r="D281" s="19">
        <v>101817</v>
      </c>
      <c r="E281" s="354" t="s">
        <v>875</v>
      </c>
      <c r="F281" s="14">
        <v>52.5</v>
      </c>
      <c r="G281" s="53">
        <v>50</v>
      </c>
      <c r="H281" s="54">
        <v>2.5</v>
      </c>
      <c r="I281" s="14"/>
      <c r="J281" s="25">
        <f t="shared" si="22"/>
        <v>52.5</v>
      </c>
      <c r="K281" s="32"/>
      <c r="L281" s="33">
        <f t="shared" si="19"/>
        <v>0</v>
      </c>
      <c r="M281" s="37"/>
      <c r="N281" s="58"/>
    </row>
    <row r="282" spans="1:14" ht="15.75">
      <c r="A282" s="136">
        <f t="shared" si="20"/>
        <v>40</v>
      </c>
      <c r="B282" s="132" t="s">
        <v>708</v>
      </c>
      <c r="C282" s="197" t="s">
        <v>1029</v>
      </c>
      <c r="D282" s="197">
        <v>105098</v>
      </c>
      <c r="E282" s="356" t="s">
        <v>709</v>
      </c>
      <c r="F282" s="14">
        <v>52.5</v>
      </c>
      <c r="G282" s="238">
        <v>50</v>
      </c>
      <c r="H282" s="131">
        <v>2.5</v>
      </c>
      <c r="I282" s="14"/>
      <c r="J282" s="18">
        <f>SUM(G282+H282+I282)</f>
        <v>52.5</v>
      </c>
      <c r="K282" s="32"/>
      <c r="L282" s="33">
        <f>+(F282-((SUM(J282+K282))))</f>
        <v>0</v>
      </c>
      <c r="M282" s="215"/>
      <c r="N282" s="59" t="s">
        <v>525</v>
      </c>
    </row>
    <row r="283" spans="1:14" ht="15.75">
      <c r="A283" s="136">
        <f t="shared" si="20"/>
        <v>41</v>
      </c>
      <c r="B283" s="19" t="s">
        <v>876</v>
      </c>
      <c r="C283" s="19" t="s">
        <v>1029</v>
      </c>
      <c r="D283" s="19">
        <v>101816</v>
      </c>
      <c r="E283" s="356" t="s">
        <v>877</v>
      </c>
      <c r="F283" s="14">
        <v>105</v>
      </c>
      <c r="G283" s="74">
        <v>100</v>
      </c>
      <c r="H283" s="54">
        <v>5</v>
      </c>
      <c r="I283" s="14"/>
      <c r="J283" s="25">
        <f t="shared" si="22"/>
        <v>105</v>
      </c>
      <c r="K283" s="32"/>
      <c r="L283" s="33">
        <f t="shared" si="19"/>
        <v>0</v>
      </c>
      <c r="M283" s="215"/>
      <c r="N283" s="60" t="s">
        <v>79</v>
      </c>
    </row>
    <row r="284" spans="1:14" ht="15.75">
      <c r="A284" s="136">
        <f t="shared" si="20"/>
        <v>42</v>
      </c>
      <c r="B284" s="19" t="s">
        <v>882</v>
      </c>
      <c r="C284" s="19" t="s">
        <v>1029</v>
      </c>
      <c r="D284" s="19">
        <v>101829</v>
      </c>
      <c r="E284" s="356" t="s">
        <v>1032</v>
      </c>
      <c r="F284" s="14">
        <v>52.5</v>
      </c>
      <c r="G284" s="74">
        <v>50</v>
      </c>
      <c r="H284" s="54">
        <v>2.5</v>
      </c>
      <c r="I284" s="14"/>
      <c r="J284" s="25">
        <f t="shared" si="22"/>
        <v>52.5</v>
      </c>
      <c r="K284" s="32"/>
      <c r="L284" s="33">
        <f t="shared" si="19"/>
        <v>0</v>
      </c>
      <c r="M284" s="215"/>
      <c r="N284" s="40"/>
    </row>
    <row r="285" spans="1:14" ht="15.75">
      <c r="A285" s="136">
        <f t="shared" si="20"/>
        <v>43</v>
      </c>
      <c r="B285" s="116" t="s">
        <v>892</v>
      </c>
      <c r="C285" s="19" t="s">
        <v>1029</v>
      </c>
      <c r="D285" s="19">
        <v>101856</v>
      </c>
      <c r="E285" s="356" t="s">
        <v>893</v>
      </c>
      <c r="F285" s="14">
        <v>52.5</v>
      </c>
      <c r="G285" s="74">
        <v>50</v>
      </c>
      <c r="H285" s="54">
        <v>2.5</v>
      </c>
      <c r="I285" s="14"/>
      <c r="J285" s="25">
        <f t="shared" si="22"/>
        <v>52.5</v>
      </c>
      <c r="K285" s="32"/>
      <c r="L285" s="33">
        <f t="shared" si="19"/>
        <v>0</v>
      </c>
      <c r="M285" s="215"/>
      <c r="N285" s="40"/>
    </row>
    <row r="286" spans="1:14" ht="15.75">
      <c r="A286" s="136">
        <f t="shared" si="20"/>
        <v>44</v>
      </c>
      <c r="B286" s="116" t="s">
        <v>894</v>
      </c>
      <c r="C286" s="19" t="s">
        <v>1029</v>
      </c>
      <c r="D286" s="19">
        <v>101876</v>
      </c>
      <c r="E286" s="356" t="s">
        <v>895</v>
      </c>
      <c r="F286" s="14">
        <v>52.5</v>
      </c>
      <c r="G286" s="74">
        <v>50</v>
      </c>
      <c r="H286" s="54">
        <v>2.5</v>
      </c>
      <c r="I286" s="14"/>
      <c r="J286" s="25">
        <f t="shared" si="22"/>
        <v>52.5</v>
      </c>
      <c r="K286" s="32"/>
      <c r="L286" s="33">
        <f t="shared" si="19"/>
        <v>0</v>
      </c>
      <c r="M286" s="215"/>
      <c r="N286" s="40"/>
    </row>
    <row r="287" spans="1:14" ht="15.75">
      <c r="A287" s="136">
        <f t="shared" si="20"/>
        <v>45</v>
      </c>
      <c r="B287" s="116" t="s">
        <v>896</v>
      </c>
      <c r="C287" s="19" t="s">
        <v>1029</v>
      </c>
      <c r="D287" s="19">
        <v>101877</v>
      </c>
      <c r="E287" s="356" t="s">
        <v>1033</v>
      </c>
      <c r="F287" s="14">
        <v>52.5</v>
      </c>
      <c r="G287" s="74">
        <v>50</v>
      </c>
      <c r="H287" s="54">
        <v>2.5</v>
      </c>
      <c r="I287" s="14"/>
      <c r="J287" s="25">
        <f t="shared" si="22"/>
        <v>52.5</v>
      </c>
      <c r="K287" s="32"/>
      <c r="L287" s="33">
        <f t="shared" si="19"/>
        <v>0</v>
      </c>
      <c r="M287" s="215"/>
      <c r="N287" s="40"/>
    </row>
    <row r="288" spans="1:14" ht="15.75">
      <c r="A288" s="136">
        <f t="shared" si="20"/>
        <v>46</v>
      </c>
      <c r="B288" s="19" t="s">
        <v>906</v>
      </c>
      <c r="C288" s="19" t="s">
        <v>1029</v>
      </c>
      <c r="D288" s="19">
        <v>101898</v>
      </c>
      <c r="E288" s="356" t="s">
        <v>907</v>
      </c>
      <c r="F288" s="14">
        <v>84</v>
      </c>
      <c r="G288" s="74">
        <v>50</v>
      </c>
      <c r="H288" s="54">
        <v>2.5</v>
      </c>
      <c r="I288" s="14"/>
      <c r="J288" s="25">
        <f t="shared" si="22"/>
        <v>52.5</v>
      </c>
      <c r="K288" s="162">
        <v>31.5</v>
      </c>
      <c r="L288" s="33">
        <f t="shared" si="19"/>
        <v>0</v>
      </c>
      <c r="M288" s="37"/>
      <c r="N288" s="195"/>
    </row>
    <row r="289" spans="1:14" ht="15.75">
      <c r="A289" s="136">
        <f t="shared" si="20"/>
        <v>47</v>
      </c>
      <c r="B289" s="19" t="s">
        <v>910</v>
      </c>
      <c r="C289" s="19" t="s">
        <v>1029</v>
      </c>
      <c r="D289" s="19">
        <v>101892</v>
      </c>
      <c r="E289" s="356" t="s">
        <v>911</v>
      </c>
      <c r="F289" s="14">
        <v>127.02</v>
      </c>
      <c r="G289" s="74">
        <v>120.97</v>
      </c>
      <c r="H289" s="54">
        <v>6.05</v>
      </c>
      <c r="I289" s="14"/>
      <c r="J289" s="25">
        <f t="shared" si="22"/>
        <v>127.02</v>
      </c>
      <c r="K289" s="32"/>
      <c r="L289" s="33">
        <f t="shared" si="19"/>
        <v>0</v>
      </c>
      <c r="M289" s="215"/>
      <c r="N289" s="194"/>
    </row>
    <row r="290" spans="1:14" ht="15.75">
      <c r="A290" s="136">
        <f t="shared" si="20"/>
        <v>48</v>
      </c>
      <c r="B290" s="19" t="s">
        <v>912</v>
      </c>
      <c r="C290" s="19" t="s">
        <v>1029</v>
      </c>
      <c r="D290" s="19">
        <v>101889</v>
      </c>
      <c r="E290" s="356" t="s">
        <v>913</v>
      </c>
      <c r="F290" s="14">
        <v>52.5</v>
      </c>
      <c r="G290" s="74">
        <v>50</v>
      </c>
      <c r="H290" s="54">
        <v>2.5</v>
      </c>
      <c r="I290" s="14"/>
      <c r="J290" s="25">
        <f t="shared" si="22"/>
        <v>52.5</v>
      </c>
      <c r="K290" s="32"/>
      <c r="L290" s="33">
        <f t="shared" si="19"/>
        <v>0</v>
      </c>
      <c r="M290" s="215"/>
      <c r="N290" s="6" t="s">
        <v>539</v>
      </c>
    </row>
    <row r="291" spans="1:14" ht="15.75">
      <c r="A291" s="136">
        <f t="shared" si="20"/>
        <v>49</v>
      </c>
      <c r="B291" s="19" t="s">
        <v>916</v>
      </c>
      <c r="C291" s="19" t="s">
        <v>1029</v>
      </c>
      <c r="D291" s="19">
        <v>101884</v>
      </c>
      <c r="E291" s="356" t="s">
        <v>917</v>
      </c>
      <c r="F291" s="14">
        <v>52.5</v>
      </c>
      <c r="G291" s="74">
        <v>50</v>
      </c>
      <c r="H291" s="54">
        <v>2.5</v>
      </c>
      <c r="I291" s="14"/>
      <c r="J291" s="25">
        <f>SUM(G291+H291+I291)</f>
        <v>52.5</v>
      </c>
      <c r="K291" s="32"/>
      <c r="L291" s="33">
        <f t="shared" si="19"/>
        <v>0</v>
      </c>
      <c r="M291" s="215"/>
      <c r="N291" s="6" t="s">
        <v>542</v>
      </c>
    </row>
    <row r="292" spans="1:14" ht="15.75">
      <c r="A292" s="136">
        <f t="shared" si="20"/>
        <v>50</v>
      </c>
      <c r="B292" s="132" t="s">
        <v>631</v>
      </c>
      <c r="C292" s="197" t="s">
        <v>1029</v>
      </c>
      <c r="D292" s="197">
        <v>105115</v>
      </c>
      <c r="E292" s="356" t="s">
        <v>632</v>
      </c>
      <c r="F292" s="14">
        <v>52.5</v>
      </c>
      <c r="G292" s="238">
        <v>50</v>
      </c>
      <c r="H292" s="131">
        <v>2.5</v>
      </c>
      <c r="I292" s="14"/>
      <c r="J292" s="18">
        <f>SUM(G292+H292+I292)</f>
        <v>52.5</v>
      </c>
      <c r="K292" s="32"/>
      <c r="L292" s="33">
        <f t="shared" si="19"/>
        <v>0</v>
      </c>
      <c r="M292" s="215"/>
      <c r="N292" s="40"/>
    </row>
    <row r="293" spans="1:14" ht="15.75">
      <c r="A293" s="136">
        <f t="shared" si="20"/>
        <v>51</v>
      </c>
      <c r="B293" s="132" t="s">
        <v>922</v>
      </c>
      <c r="C293" s="197" t="s">
        <v>1029</v>
      </c>
      <c r="D293" s="197">
        <v>105105</v>
      </c>
      <c r="E293" s="356" t="s">
        <v>1034</v>
      </c>
      <c r="F293" s="14">
        <v>52.5</v>
      </c>
      <c r="G293" s="238">
        <v>50</v>
      </c>
      <c r="H293" s="131">
        <v>2.5</v>
      </c>
      <c r="I293" s="14"/>
      <c r="J293" s="18">
        <f>SUM(G293+H293+I293)</f>
        <v>52.5</v>
      </c>
      <c r="K293" s="32"/>
      <c r="L293" s="33">
        <f t="shared" si="19"/>
        <v>0</v>
      </c>
      <c r="M293" s="215"/>
      <c r="N293" s="40"/>
    </row>
    <row r="294" spans="1:14" ht="15.75">
      <c r="A294" s="136">
        <f t="shared" si="20"/>
        <v>52</v>
      </c>
      <c r="B294" s="301" t="s">
        <v>1052</v>
      </c>
      <c r="C294" s="197" t="s">
        <v>1029</v>
      </c>
      <c r="D294" s="19">
        <v>101041</v>
      </c>
      <c r="E294" s="316" t="s">
        <v>1024</v>
      </c>
      <c r="F294" s="14">
        <v>52.5</v>
      </c>
      <c r="G294" s="238">
        <v>50</v>
      </c>
      <c r="H294" s="131">
        <v>2.5</v>
      </c>
      <c r="I294" s="14"/>
      <c r="J294" s="18">
        <f t="shared" ref="J294" si="23">SUM(G294+H294+I294)</f>
        <v>52.5</v>
      </c>
      <c r="K294" s="32"/>
      <c r="L294" s="33">
        <f t="shared" si="19"/>
        <v>0</v>
      </c>
      <c r="M294" s="215"/>
      <c r="N294" s="40"/>
    </row>
    <row r="295" spans="1:14" ht="15.75">
      <c r="A295" s="136">
        <f t="shared" si="20"/>
        <v>53</v>
      </c>
      <c r="B295" s="301" t="s">
        <v>1060</v>
      </c>
      <c r="C295" s="197"/>
      <c r="D295" s="197">
        <v>105581</v>
      </c>
      <c r="E295" s="356" t="s">
        <v>1061</v>
      </c>
      <c r="F295" s="14">
        <v>37.25</v>
      </c>
      <c r="G295" s="238">
        <v>35.479999999999997</v>
      </c>
      <c r="H295" s="131">
        <v>1.77</v>
      </c>
      <c r="I295" s="14"/>
      <c r="J295" s="18">
        <f>SUM(G295+H295+I295)</f>
        <v>37.25</v>
      </c>
      <c r="K295" s="32"/>
      <c r="L295" s="33">
        <f>+(F295-((SUM(J295+K295))))</f>
        <v>0</v>
      </c>
      <c r="M295" s="215"/>
      <c r="N295" s="6"/>
    </row>
    <row r="296" spans="1:14" ht="15.75">
      <c r="A296" s="136">
        <f t="shared" si="20"/>
        <v>54</v>
      </c>
      <c r="B296" s="301" t="s">
        <v>1062</v>
      </c>
      <c r="C296" s="197"/>
      <c r="D296" s="197">
        <v>105580</v>
      </c>
      <c r="E296" s="356" t="s">
        <v>1063</v>
      </c>
      <c r="F296" s="14">
        <v>37.25</v>
      </c>
      <c r="G296" s="238">
        <v>35.479999999999997</v>
      </c>
      <c r="H296" s="131">
        <v>1.77</v>
      </c>
      <c r="I296" s="14"/>
      <c r="J296" s="18">
        <f>SUM(G296+H296+I296)</f>
        <v>37.25</v>
      </c>
      <c r="K296" s="32"/>
      <c r="L296" s="33">
        <f>+(F296-((SUM(J296+K296))))</f>
        <v>0</v>
      </c>
      <c r="M296" s="215"/>
      <c r="N296" s="40"/>
    </row>
    <row r="297" spans="1:14" ht="15.75">
      <c r="A297" s="136">
        <f t="shared" si="20"/>
        <v>55</v>
      </c>
      <c r="B297" s="301" t="s">
        <v>1064</v>
      </c>
      <c r="C297" s="197"/>
      <c r="D297" s="197"/>
      <c r="E297" s="356" t="s">
        <v>1065</v>
      </c>
      <c r="F297" s="14">
        <v>64.05</v>
      </c>
      <c r="G297" s="238">
        <v>32.26</v>
      </c>
      <c r="H297" s="131">
        <v>0.8</v>
      </c>
      <c r="I297" s="14">
        <v>30.99</v>
      </c>
      <c r="J297" s="18">
        <f t="shared" ref="J297:J300" si="24">SUM(G297+H297+I297)</f>
        <v>64.05</v>
      </c>
      <c r="K297" s="32"/>
      <c r="L297" s="33">
        <f t="shared" si="19"/>
        <v>0</v>
      </c>
      <c r="M297" s="215"/>
      <c r="N297" s="195"/>
    </row>
    <row r="298" spans="1:14" ht="15.75">
      <c r="A298" s="136">
        <f t="shared" si="20"/>
        <v>56</v>
      </c>
      <c r="B298" s="301" t="s">
        <v>595</v>
      </c>
      <c r="C298" s="197"/>
      <c r="D298" s="197"/>
      <c r="E298" s="356" t="s">
        <v>1066</v>
      </c>
      <c r="F298" s="14">
        <v>317.45999999999998</v>
      </c>
      <c r="G298" s="238">
        <v>300</v>
      </c>
      <c r="H298" s="131">
        <v>15.12</v>
      </c>
      <c r="I298" s="14">
        <v>2.34</v>
      </c>
      <c r="J298" s="18">
        <f>SUM(G298+H298+I298)</f>
        <v>317.45999999999998</v>
      </c>
      <c r="K298" s="32"/>
      <c r="L298" s="33">
        <f>+(F298-((SUM(J298+K298))))</f>
        <v>0</v>
      </c>
      <c r="M298" s="215"/>
      <c r="N298" s="6"/>
    </row>
    <row r="299" spans="1:14" ht="15.75">
      <c r="A299" s="136">
        <f t="shared" si="20"/>
        <v>57</v>
      </c>
      <c r="B299" s="301" t="s">
        <v>1067</v>
      </c>
      <c r="C299" s="197"/>
      <c r="D299" s="197"/>
      <c r="E299" s="356" t="s">
        <v>1068</v>
      </c>
      <c r="F299" s="14">
        <v>30.48</v>
      </c>
      <c r="G299" s="238">
        <v>30</v>
      </c>
      <c r="H299" s="131">
        <v>0.48</v>
      </c>
      <c r="I299" s="14"/>
      <c r="J299" s="18">
        <f>SUM(G299+H299+I299)</f>
        <v>30.48</v>
      </c>
      <c r="K299" s="32"/>
      <c r="L299" s="33">
        <f>+(F299-((SUM(J299+K299))))</f>
        <v>0</v>
      </c>
      <c r="M299" s="215"/>
      <c r="N299" s="194"/>
    </row>
    <row r="300" spans="1:14" ht="15.75">
      <c r="A300" s="136">
        <f t="shared" si="20"/>
        <v>58</v>
      </c>
      <c r="B300" s="301" t="s">
        <v>1069</v>
      </c>
      <c r="C300" s="197"/>
      <c r="D300" s="197"/>
      <c r="E300" s="356" t="s">
        <v>1070</v>
      </c>
      <c r="F300" s="14">
        <v>30.48</v>
      </c>
      <c r="G300" s="238">
        <v>30</v>
      </c>
      <c r="H300" s="131">
        <v>0.48</v>
      </c>
      <c r="I300" s="14"/>
      <c r="J300" s="18">
        <f t="shared" si="24"/>
        <v>30.48</v>
      </c>
      <c r="K300" s="32"/>
      <c r="L300" s="33">
        <f t="shared" si="19"/>
        <v>0</v>
      </c>
      <c r="M300" s="215"/>
      <c r="N300" s="6" t="s">
        <v>557</v>
      </c>
    </row>
    <row r="301" spans="1:14" ht="15.75">
      <c r="A301" s="136">
        <f t="shared" si="20"/>
        <v>59</v>
      </c>
      <c r="B301" s="116" t="s">
        <v>884</v>
      </c>
      <c r="C301" s="19"/>
      <c r="D301" s="19"/>
      <c r="E301" s="356" t="s">
        <v>885</v>
      </c>
      <c r="F301" s="14">
        <v>313.95</v>
      </c>
      <c r="G301" s="74">
        <v>299</v>
      </c>
      <c r="H301" s="54">
        <v>14.95</v>
      </c>
      <c r="I301" s="14"/>
      <c r="J301" s="25">
        <f>SUM(G301+H301+I301)</f>
        <v>313.95</v>
      </c>
      <c r="K301" s="32"/>
      <c r="L301" s="33">
        <f>+(F301-((SUM(J301+K301))))</f>
        <v>0</v>
      </c>
      <c r="M301" s="215"/>
      <c r="N301" s="6" t="s">
        <v>559</v>
      </c>
    </row>
    <row r="302" spans="1:14" ht="15.75">
      <c r="A302" s="136">
        <f t="shared" si="20"/>
        <v>60</v>
      </c>
      <c r="B302" s="116" t="s">
        <v>886</v>
      </c>
      <c r="C302" s="19"/>
      <c r="D302" s="19"/>
      <c r="E302" s="356" t="s">
        <v>887</v>
      </c>
      <c r="F302" s="14">
        <v>210</v>
      </c>
      <c r="G302" s="74">
        <v>200</v>
      </c>
      <c r="H302" s="54">
        <v>10</v>
      </c>
      <c r="I302" s="14"/>
      <c r="J302" s="25">
        <f>SUM(G302+H302+I302)</f>
        <v>210</v>
      </c>
      <c r="K302" s="179"/>
      <c r="L302" s="33">
        <f>+(F302-((SUM(J302+K302))))</f>
        <v>0</v>
      </c>
      <c r="M302" s="217"/>
      <c r="N302" s="6"/>
    </row>
    <row r="303" spans="1:14" ht="16.5" thickBot="1">
      <c r="A303" s="295"/>
      <c r="B303" s="296"/>
      <c r="C303" s="297"/>
      <c r="D303" s="297"/>
      <c r="E303" s="369"/>
      <c r="F303" s="268"/>
      <c r="G303" s="298"/>
      <c r="H303" s="299"/>
      <c r="I303" s="268"/>
      <c r="J303" s="300"/>
      <c r="K303" s="82"/>
      <c r="L303" s="33">
        <f t="shared" si="19"/>
        <v>0</v>
      </c>
      <c r="M303" s="215"/>
    </row>
    <row r="304" spans="1:14" ht="16.5" thickBot="1">
      <c r="A304" s="142"/>
      <c r="B304" s="143"/>
      <c r="C304" s="143"/>
      <c r="D304" s="338"/>
      <c r="E304" s="143"/>
      <c r="F304" s="253">
        <f>SUM(F243:F303)</f>
        <v>6635.25</v>
      </c>
      <c r="G304" s="253">
        <f t="shared" ref="G304:L304" si="25">SUM(G243:G303)</f>
        <v>5743.19</v>
      </c>
      <c r="H304" s="253">
        <f t="shared" si="25"/>
        <v>284.57000000000005</v>
      </c>
      <c r="I304" s="253">
        <f t="shared" si="25"/>
        <v>538.11</v>
      </c>
      <c r="J304" s="253">
        <f t="shared" si="25"/>
        <v>6565.87</v>
      </c>
      <c r="K304" s="253">
        <f t="shared" si="25"/>
        <v>69.38</v>
      </c>
      <c r="L304" s="253">
        <f t="shared" si="25"/>
        <v>-7.1054273576010019E-14</v>
      </c>
      <c r="M304" s="219"/>
    </row>
    <row r="305" spans="1:14" ht="16.5" thickBot="1">
      <c r="A305" s="289"/>
      <c r="B305" s="290" t="s">
        <v>398</v>
      </c>
      <c r="C305" s="291"/>
      <c r="D305" s="339"/>
      <c r="E305" s="326"/>
      <c r="F305" s="293"/>
      <c r="G305" s="292"/>
      <c r="H305" s="292"/>
      <c r="I305" s="292"/>
      <c r="J305" s="292"/>
      <c r="K305" s="292"/>
      <c r="L305" s="292"/>
      <c r="M305" s="294"/>
      <c r="N305" s="6"/>
    </row>
    <row r="306" spans="1:14" ht="15.75">
      <c r="A306" s="285">
        <v>1</v>
      </c>
      <c r="B306" s="145" t="s">
        <v>924</v>
      </c>
      <c r="C306" s="145" t="s">
        <v>398</v>
      </c>
      <c r="D306" s="145">
        <v>101766</v>
      </c>
      <c r="E306" s="370" t="s">
        <v>925</v>
      </c>
      <c r="F306" s="256">
        <v>210</v>
      </c>
      <c r="G306" s="287">
        <v>200</v>
      </c>
      <c r="H306" s="288">
        <v>10</v>
      </c>
      <c r="I306" s="256"/>
      <c r="J306" s="46">
        <f t="shared" ref="J306:J311" si="26">SUM(G306+H306+I306)</f>
        <v>210</v>
      </c>
      <c r="K306" s="146"/>
      <c r="L306" s="47">
        <f t="shared" ref="L306:L311" si="27">+(F306-((SUM(J306+K306))))</f>
        <v>0</v>
      </c>
      <c r="M306" s="221"/>
      <c r="N306" s="6"/>
    </row>
    <row r="307" spans="1:14" ht="15.75">
      <c r="A307" s="11">
        <f>1+A306</f>
        <v>2</v>
      </c>
      <c r="B307" s="19" t="s">
        <v>926</v>
      </c>
      <c r="C307" s="145" t="s">
        <v>398</v>
      </c>
      <c r="D307" s="19">
        <v>101776</v>
      </c>
      <c r="E307" s="356" t="s">
        <v>927</v>
      </c>
      <c r="F307" s="14">
        <v>52.5</v>
      </c>
      <c r="G307" s="53">
        <v>50</v>
      </c>
      <c r="H307" s="54">
        <v>2.5</v>
      </c>
      <c r="I307" s="14"/>
      <c r="J307" s="18">
        <f t="shared" si="26"/>
        <v>52.5</v>
      </c>
      <c r="K307" s="32"/>
      <c r="L307" s="33">
        <f t="shared" si="27"/>
        <v>0</v>
      </c>
      <c r="M307" s="215"/>
      <c r="N307" s="6"/>
    </row>
    <row r="308" spans="1:14" ht="15.75">
      <c r="A308" s="11">
        <f t="shared" ref="A308:A316" si="28">1+A307</f>
        <v>3</v>
      </c>
      <c r="B308" s="19" t="s">
        <v>399</v>
      </c>
      <c r="C308" s="145" t="s">
        <v>398</v>
      </c>
      <c r="D308" s="19">
        <v>101514</v>
      </c>
      <c r="E308" s="356" t="s">
        <v>400</v>
      </c>
      <c r="F308" s="14">
        <v>52.5</v>
      </c>
      <c r="G308" s="74">
        <v>50</v>
      </c>
      <c r="H308" s="75">
        <v>2.5</v>
      </c>
      <c r="I308" s="14"/>
      <c r="J308" s="18">
        <f t="shared" si="26"/>
        <v>52.5</v>
      </c>
      <c r="K308" s="32"/>
      <c r="L308" s="33">
        <f t="shared" si="27"/>
        <v>0</v>
      </c>
      <c r="M308" s="37"/>
      <c r="N308" s="6"/>
    </row>
    <row r="309" spans="1:14" ht="15.75">
      <c r="A309" s="11">
        <f t="shared" si="28"/>
        <v>4</v>
      </c>
      <c r="B309" s="19" t="s">
        <v>411</v>
      </c>
      <c r="C309" s="145" t="s">
        <v>398</v>
      </c>
      <c r="D309" s="19">
        <v>101384</v>
      </c>
      <c r="E309" s="356" t="s">
        <v>412</v>
      </c>
      <c r="F309" s="14">
        <v>52.5</v>
      </c>
      <c r="G309" s="74">
        <v>50</v>
      </c>
      <c r="H309" s="75">
        <v>2.5</v>
      </c>
      <c r="I309" s="14"/>
      <c r="J309" s="18">
        <f t="shared" si="26"/>
        <v>52.5</v>
      </c>
      <c r="K309" s="32"/>
      <c r="L309" s="33">
        <f t="shared" si="27"/>
        <v>0</v>
      </c>
      <c r="M309" s="215"/>
      <c r="N309" s="6"/>
    </row>
    <row r="310" spans="1:14" ht="15.75">
      <c r="A310" s="11">
        <f t="shared" si="28"/>
        <v>5</v>
      </c>
      <c r="B310" s="19" t="s">
        <v>931</v>
      </c>
      <c r="C310" s="145" t="s">
        <v>398</v>
      </c>
      <c r="D310" s="19">
        <v>101350</v>
      </c>
      <c r="E310" s="356" t="s">
        <v>932</v>
      </c>
      <c r="F310" s="14">
        <v>52.5</v>
      </c>
      <c r="G310" s="20">
        <v>50</v>
      </c>
      <c r="H310" s="21">
        <v>2.5</v>
      </c>
      <c r="I310" s="14"/>
      <c r="J310" s="18">
        <f t="shared" si="26"/>
        <v>52.5</v>
      </c>
      <c r="K310" s="32"/>
      <c r="L310" s="33">
        <f t="shared" si="27"/>
        <v>0</v>
      </c>
      <c r="M310" s="215"/>
      <c r="N310" s="6"/>
    </row>
    <row r="311" spans="1:14" ht="15.75">
      <c r="A311" s="11">
        <f t="shared" si="28"/>
        <v>6</v>
      </c>
      <c r="B311" s="19" t="s">
        <v>933</v>
      </c>
      <c r="C311" s="145" t="s">
        <v>398</v>
      </c>
      <c r="D311" s="19">
        <v>101775</v>
      </c>
      <c r="E311" s="356" t="s">
        <v>934</v>
      </c>
      <c r="F311" s="14">
        <v>52.5</v>
      </c>
      <c r="G311" s="53">
        <v>50</v>
      </c>
      <c r="H311" s="54">
        <v>2.5</v>
      </c>
      <c r="I311" s="14"/>
      <c r="J311" s="18">
        <f t="shared" si="26"/>
        <v>52.5</v>
      </c>
      <c r="K311" s="32"/>
      <c r="L311" s="33">
        <f t="shared" si="27"/>
        <v>0</v>
      </c>
      <c r="M311" s="215"/>
      <c r="N311" s="6"/>
    </row>
    <row r="312" spans="1:14" ht="15.75">
      <c r="A312" s="11">
        <f t="shared" si="28"/>
        <v>7</v>
      </c>
      <c r="B312" s="19" t="s">
        <v>937</v>
      </c>
      <c r="C312" s="145" t="s">
        <v>398</v>
      </c>
      <c r="D312" s="19">
        <v>101764</v>
      </c>
      <c r="E312" s="356" t="s">
        <v>938</v>
      </c>
      <c r="F312" s="14">
        <v>105</v>
      </c>
      <c r="G312" s="53">
        <v>100</v>
      </c>
      <c r="H312" s="54">
        <v>5</v>
      </c>
      <c r="I312" s="14"/>
      <c r="J312" s="18">
        <f>SUM(G312+H312+I312)</f>
        <v>105</v>
      </c>
      <c r="K312" s="32"/>
      <c r="L312" s="33">
        <f>+(F312-((SUM(J312+K312))))</f>
        <v>0</v>
      </c>
      <c r="M312" s="215"/>
      <c r="N312" s="6"/>
    </row>
    <row r="313" spans="1:14" ht="15.75">
      <c r="A313" s="11">
        <f t="shared" si="28"/>
        <v>8</v>
      </c>
      <c r="B313" s="19" t="s">
        <v>738</v>
      </c>
      <c r="C313" s="145" t="s">
        <v>398</v>
      </c>
      <c r="D313" s="19">
        <v>101773</v>
      </c>
      <c r="E313" s="355" t="s">
        <v>739</v>
      </c>
      <c r="F313" s="14">
        <v>52.5</v>
      </c>
      <c r="G313" s="74">
        <v>50</v>
      </c>
      <c r="H313" s="75">
        <v>2.5</v>
      </c>
      <c r="I313" s="14"/>
      <c r="J313" s="18">
        <f t="shared" ref="J313:J314" si="29">SUM(G313+H313+I313)</f>
        <v>52.5</v>
      </c>
      <c r="K313" s="32"/>
      <c r="L313" s="36">
        <f>+(F313-((SUM(J313+K313))))</f>
        <v>0</v>
      </c>
      <c r="M313" s="215"/>
      <c r="N313" s="6"/>
    </row>
    <row r="314" spans="1:14" ht="15.75">
      <c r="A314" s="11">
        <f t="shared" si="28"/>
        <v>9</v>
      </c>
      <c r="B314" s="19" t="s">
        <v>914</v>
      </c>
      <c r="C314" s="145" t="s">
        <v>398</v>
      </c>
      <c r="D314" s="19">
        <v>101329</v>
      </c>
      <c r="E314" s="356" t="s">
        <v>915</v>
      </c>
      <c r="F314" s="14">
        <v>52.5</v>
      </c>
      <c r="G314" s="74">
        <v>50</v>
      </c>
      <c r="H314" s="54">
        <v>2.5</v>
      </c>
      <c r="I314" s="14"/>
      <c r="J314" s="18">
        <f t="shared" si="29"/>
        <v>52.5</v>
      </c>
      <c r="K314" s="32"/>
      <c r="L314" s="33">
        <f>+(F314-((SUM(J314+K314))))</f>
        <v>0</v>
      </c>
      <c r="M314" s="215"/>
      <c r="N314" s="6"/>
    </row>
    <row r="315" spans="1:14" ht="15.75">
      <c r="A315" s="11">
        <f t="shared" si="28"/>
        <v>10</v>
      </c>
      <c r="B315" s="132" t="s">
        <v>706</v>
      </c>
      <c r="C315" s="145" t="s">
        <v>398</v>
      </c>
      <c r="D315" s="197">
        <v>105067</v>
      </c>
      <c r="E315" s="356" t="s">
        <v>1035</v>
      </c>
      <c r="F315" s="14">
        <v>52.5</v>
      </c>
      <c r="G315" s="238">
        <v>50</v>
      </c>
      <c r="H315" s="131">
        <v>2.5</v>
      </c>
      <c r="I315" s="14"/>
      <c r="J315" s="18">
        <f>SUM(G315+H315+I315)</f>
        <v>52.5</v>
      </c>
      <c r="K315" s="32"/>
      <c r="L315" s="33">
        <f>+(F315-((SUM(J315+K315))))</f>
        <v>0</v>
      </c>
      <c r="M315" s="215"/>
      <c r="N315" s="6"/>
    </row>
    <row r="316" spans="1:14" ht="15.75">
      <c r="A316" s="11">
        <f t="shared" si="28"/>
        <v>11</v>
      </c>
      <c r="B316" s="19" t="s">
        <v>935</v>
      </c>
      <c r="C316" s="145" t="s">
        <v>398</v>
      </c>
      <c r="D316" s="19">
        <v>101328</v>
      </c>
      <c r="E316" s="356" t="s">
        <v>936</v>
      </c>
      <c r="F316" s="14">
        <v>52.5</v>
      </c>
      <c r="G316" s="20">
        <v>50</v>
      </c>
      <c r="H316" s="21">
        <v>2.5</v>
      </c>
      <c r="I316" s="14"/>
      <c r="J316" s="18">
        <f>SUM(G316+H316+I316)</f>
        <v>52.5</v>
      </c>
      <c r="K316" s="82"/>
      <c r="L316" s="83">
        <f>+(F316-((SUM(J316+K316))))</f>
        <v>0</v>
      </c>
      <c r="M316" s="37"/>
      <c r="N316" s="6"/>
    </row>
    <row r="317" spans="1:14" ht="21.75" thickBot="1">
      <c r="A317" s="205"/>
      <c r="B317" s="206"/>
      <c r="C317" s="207"/>
      <c r="D317" s="340"/>
      <c r="E317" s="207" t="s">
        <v>474</v>
      </c>
      <c r="F317" s="263">
        <f t="shared" ref="F317:L317" si="30">SUM(F240,F304,F306:F316)</f>
        <v>35358.729999999996</v>
      </c>
      <c r="G317" s="263">
        <f t="shared" si="30"/>
        <v>31298.35</v>
      </c>
      <c r="H317" s="263">
        <f t="shared" si="30"/>
        <v>1552.4700000000003</v>
      </c>
      <c r="I317" s="263">
        <f t="shared" si="30"/>
        <v>2438.5300000000002</v>
      </c>
      <c r="J317" s="263">
        <f t="shared" si="30"/>
        <v>35289.35</v>
      </c>
      <c r="K317" s="263">
        <f t="shared" si="30"/>
        <v>69.38</v>
      </c>
      <c r="L317" s="263">
        <f t="shared" si="30"/>
        <v>-8.5265128291212022E-14</v>
      </c>
      <c r="M317" s="222"/>
      <c r="N317" s="6"/>
    </row>
    <row r="318" spans="1:14" ht="15.75">
      <c r="A318" s="7"/>
      <c r="B318" s="7"/>
      <c r="C318" s="8"/>
      <c r="D318" s="8"/>
      <c r="E318" s="7"/>
      <c r="F318" s="258"/>
      <c r="G318" s="4"/>
      <c r="H318" s="4"/>
      <c r="I318" s="258"/>
      <c r="J318" s="4"/>
      <c r="K318" s="4"/>
      <c r="L318" s="9"/>
      <c r="M318" s="223"/>
      <c r="N318" s="6"/>
    </row>
    <row r="319" spans="1:14" ht="15.75">
      <c r="A319" s="7"/>
      <c r="B319" s="7"/>
      <c r="C319" s="8"/>
      <c r="D319" s="8"/>
      <c r="E319" s="7"/>
      <c r="F319" s="258"/>
      <c r="G319" s="4"/>
      <c r="H319" s="4"/>
      <c r="I319" s="258"/>
      <c r="J319" s="4"/>
      <c r="K319" s="4"/>
      <c r="L319" s="9"/>
      <c r="M319" s="223"/>
      <c r="N319" s="6"/>
    </row>
    <row r="320" spans="1:14" ht="15.75">
      <c r="A320" s="7"/>
      <c r="B320" s="7"/>
      <c r="C320" s="8"/>
      <c r="D320" s="8"/>
      <c r="E320" s="371"/>
      <c r="F320" s="258"/>
      <c r="G320" s="81"/>
      <c r="H320" s="81"/>
      <c r="I320" s="258"/>
      <c r="J320" s="4"/>
      <c r="K320" s="4"/>
      <c r="L320" s="9"/>
      <c r="M320" s="223"/>
      <c r="N320" s="5"/>
    </row>
  </sheetData>
  <mergeCells count="2">
    <mergeCell ref="A2:L2"/>
    <mergeCell ref="M3:M4"/>
  </mergeCells>
  <conditionalFormatting sqref="B140 B207 B60">
    <cfRule type="duplicateValues" dxfId="102" priority="4"/>
  </conditionalFormatting>
  <conditionalFormatting sqref="B148 B59">
    <cfRule type="duplicateValues" dxfId="101" priority="919"/>
  </conditionalFormatting>
  <conditionalFormatting sqref="B228:B230">
    <cfRule type="duplicateValues" dxfId="100" priority="11"/>
  </conditionalFormatting>
  <conditionalFormatting sqref="B231:B233">
    <cfRule type="duplicateValues" dxfId="99" priority="9"/>
  </conditionalFormatting>
  <conditionalFormatting sqref="B261 B234:B239 B191 B62 B144 B200 B124 B92 B64">
    <cfRule type="duplicateValues" dxfId="98" priority="15"/>
  </conditionalFormatting>
  <conditionalFormatting sqref="B294">
    <cfRule type="duplicateValues" dxfId="97" priority="5"/>
  </conditionalFormatting>
  <conditionalFormatting sqref="B295:B300">
    <cfRule type="duplicateValues" dxfId="96" priority="1007"/>
  </conditionalFormatting>
  <conditionalFormatting sqref="B301:B1048576 B240:B260 B262:B293 B1:B58 B61 B63 B65:B91 B145:B147 B149:B190 B192:B199 B93:B123 B125:B139 B141:B143 B201:B206 B208:B227">
    <cfRule type="duplicateValues" dxfId="95" priority="935"/>
  </conditionalFormatting>
  <conditionalFormatting sqref="D1:D1048576">
    <cfRule type="duplicateValues" dxfId="94" priority="1"/>
  </conditionalFormatting>
  <conditionalFormatting sqref="D101:D102">
    <cfRule type="duplicateValues" dxfId="93" priority="21"/>
    <cfRule type="duplicateValues" dxfId="92" priority="22"/>
    <cfRule type="duplicateValues" dxfId="91" priority="23"/>
    <cfRule type="duplicateValues" dxfId="90" priority="24"/>
  </conditionalFormatting>
  <conditionalFormatting sqref="E85">
    <cfRule type="duplicateValues" dxfId="89" priority="6"/>
  </conditionalFormatting>
  <conditionalFormatting sqref="E95">
    <cfRule type="duplicateValues" dxfId="88" priority="19"/>
  </conditionalFormatting>
  <conditionalFormatting sqref="E109">
    <cfRule type="duplicateValues" dxfId="87" priority="7"/>
  </conditionalFormatting>
  <conditionalFormatting sqref="E148 E59">
    <cfRule type="duplicateValues" dxfId="86" priority="926"/>
  </conditionalFormatting>
  <conditionalFormatting sqref="E228:E230">
    <cfRule type="duplicateValues" dxfId="85" priority="12"/>
  </conditionalFormatting>
  <conditionalFormatting sqref="E231:E233">
    <cfRule type="duplicateValues" dxfId="84" priority="10"/>
  </conditionalFormatting>
  <conditionalFormatting sqref="E261 E234:E239 E191 E62 E144 E200 E124 E92 E64">
    <cfRule type="duplicateValues" dxfId="83" priority="16"/>
  </conditionalFormatting>
  <conditionalFormatting sqref="E276">
    <cfRule type="duplicateValues" dxfId="82" priority="20"/>
  </conditionalFormatting>
  <conditionalFormatting sqref="E287">
    <cfRule type="duplicateValues" dxfId="81" priority="8"/>
  </conditionalFormatting>
  <conditionalFormatting sqref="E294">
    <cfRule type="duplicateValues" dxfId="80" priority="3"/>
  </conditionalFormatting>
  <conditionalFormatting sqref="E316">
    <cfRule type="duplicateValues" dxfId="79" priority="18"/>
  </conditionalFormatting>
  <conditionalFormatting sqref="E317:E320 E89:E91 E93:E94 E178:E180 E277:E286 E199 E3:E58 E96:E108 E65:E84 E288:E293 E145:E147 E149:E176 E182:E190 E192:E197 E110:E123 E86:E87 E240:E260 E262:E275 E125:E143 E201:E227 E295:E315 E60:E61 E63">
    <cfRule type="duplicateValues" dxfId="78" priority="1006"/>
  </conditionalFormatting>
  <pageMargins left="0.25" right="0.25" top="0.25" bottom="0.25" header="0.3" footer="0.3"/>
  <pageSetup paperSize="9" scale="54" fitToHeight="0" orientation="landscape" horizontalDpi="0" verticalDpi="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97976-7F22-44E8-9EFB-B6682AAEBFCA}">
  <dimension ref="A1:P332"/>
  <sheetViews>
    <sheetView zoomScale="85" zoomScaleNormal="85" workbookViewId="0">
      <pane xSplit="5" ySplit="1" topLeftCell="F167" activePane="bottomRight" state="frozen"/>
      <selection pane="bottomRight" activeCell="E184" sqref="E184"/>
      <selection pane="bottomLeft" activeCell="A3" sqref="A3"/>
      <selection pane="topRight" activeCell="F1" sqref="F1"/>
    </sheetView>
  </sheetViews>
  <sheetFormatPr defaultRowHeight="15"/>
  <cols>
    <col min="1" max="1" width="7.125" customWidth="1"/>
    <col min="2" max="2" width="18.875" customWidth="1"/>
    <col min="3" max="3" width="12.25" customWidth="1"/>
    <col min="4" max="4" width="11.25" style="341" customWidth="1"/>
    <col min="5" max="5" width="24.375" style="242" customWidth="1"/>
    <col min="6" max="6" width="20.625" style="273" customWidth="1"/>
    <col min="7" max="7" width="18.375" customWidth="1"/>
    <col min="8" max="8" width="18.625" customWidth="1"/>
    <col min="9" max="9" width="16.375" style="259" customWidth="1"/>
    <col min="10" max="10" width="20" customWidth="1"/>
    <col min="11" max="11" width="15.875" customWidth="1"/>
    <col min="12" max="12" width="18.875" customWidth="1"/>
    <col min="13" max="13" width="33.125" customWidth="1"/>
  </cols>
  <sheetData>
    <row r="1" spans="1:14" ht="24" thickBot="1">
      <c r="A1" s="415" t="s">
        <v>1071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214"/>
      <c r="N1" s="1"/>
    </row>
    <row r="2" spans="1:14" ht="15.75" customHeight="1">
      <c r="A2" s="329" t="s">
        <v>463</v>
      </c>
      <c r="B2" s="330" t="s">
        <v>464</v>
      </c>
      <c r="C2" s="330"/>
      <c r="D2" s="330"/>
      <c r="E2" s="330" t="s">
        <v>465</v>
      </c>
      <c r="F2" s="332" t="s">
        <v>466</v>
      </c>
      <c r="G2" s="227" t="s">
        <v>467</v>
      </c>
      <c r="H2" s="227"/>
      <c r="I2" s="244"/>
      <c r="J2" s="227"/>
      <c r="K2" s="184" t="s">
        <v>468</v>
      </c>
      <c r="L2" s="260" t="s">
        <v>469</v>
      </c>
      <c r="M2" s="416" t="s">
        <v>470</v>
      </c>
      <c r="N2" s="6"/>
    </row>
    <row r="3" spans="1:14" ht="15.75">
      <c r="A3" s="165"/>
      <c r="B3" s="177"/>
      <c r="C3" s="177"/>
      <c r="D3" s="177"/>
      <c r="E3" s="177"/>
      <c r="F3" s="245"/>
      <c r="G3" s="231" t="s">
        <v>471</v>
      </c>
      <c r="H3" s="231" t="s">
        <v>472</v>
      </c>
      <c r="I3" s="245" t="s">
        <v>473</v>
      </c>
      <c r="J3" s="231" t="s">
        <v>474</v>
      </c>
      <c r="K3" s="175"/>
      <c r="L3" s="261"/>
      <c r="M3" s="417"/>
      <c r="N3" s="6"/>
    </row>
    <row r="4" spans="1:14" ht="15.75">
      <c r="A4" s="165"/>
      <c r="B4" s="177" t="s">
        <v>475</v>
      </c>
      <c r="C4" s="177"/>
      <c r="D4" s="177" t="s">
        <v>476</v>
      </c>
      <c r="E4" s="177" t="s">
        <v>477</v>
      </c>
      <c r="F4" s="246"/>
      <c r="G4" s="230"/>
      <c r="H4" s="230"/>
      <c r="I4" s="246"/>
      <c r="J4" s="230"/>
      <c r="K4" s="230"/>
      <c r="L4" s="230"/>
      <c r="M4" s="233"/>
      <c r="N4" s="6"/>
    </row>
    <row r="5" spans="1:14" ht="15.75">
      <c r="A5" s="164"/>
      <c r="B5" s="234" t="s">
        <v>478</v>
      </c>
      <c r="C5" s="234"/>
      <c r="D5" s="336"/>
      <c r="E5" s="353"/>
      <c r="F5" s="247"/>
      <c r="G5" s="236"/>
      <c r="H5" s="236"/>
      <c r="I5" s="247"/>
      <c r="J5" s="236"/>
      <c r="K5" s="236"/>
      <c r="L5" s="236"/>
      <c r="M5" s="237"/>
      <c r="N5" s="6"/>
    </row>
    <row r="6" spans="1:14" ht="15.75">
      <c r="A6" s="11">
        <v>1</v>
      </c>
      <c r="B6" s="19" t="s">
        <v>479</v>
      </c>
      <c r="C6" s="19"/>
      <c r="D6" s="19"/>
      <c r="E6" s="354" t="s">
        <v>480</v>
      </c>
      <c r="F6" s="14">
        <v>4724.2700000000004</v>
      </c>
      <c r="G6" s="74">
        <v>4355</v>
      </c>
      <c r="H6" s="75">
        <v>217.75</v>
      </c>
      <c r="I6" s="14">
        <v>151.52000000000001</v>
      </c>
      <c r="J6" s="18">
        <f t="shared" ref="J6:J70" si="0">SUM(G6+H6+I6)</f>
        <v>4724.2700000000004</v>
      </c>
      <c r="K6" s="32"/>
      <c r="L6" s="33">
        <f t="shared" ref="L6:L60" si="1">+(F6-((SUM(J6+K6))))</f>
        <v>0</v>
      </c>
      <c r="M6" s="215"/>
      <c r="N6" s="6"/>
    </row>
    <row r="7" spans="1:14" ht="15.75">
      <c r="A7" s="11">
        <f>1+A6</f>
        <v>2</v>
      </c>
      <c r="B7" s="19" t="s">
        <v>481</v>
      </c>
      <c r="C7" s="19"/>
      <c r="D7" s="19"/>
      <c r="E7" s="355" t="s">
        <v>482</v>
      </c>
      <c r="F7" s="14">
        <v>99.75</v>
      </c>
      <c r="G7" s="74">
        <v>95</v>
      </c>
      <c r="H7" s="75">
        <v>4.75</v>
      </c>
      <c r="I7" s="14"/>
      <c r="J7" s="18">
        <f t="shared" si="0"/>
        <v>99.75</v>
      </c>
      <c r="K7" s="32"/>
      <c r="L7" s="33">
        <f t="shared" si="1"/>
        <v>0</v>
      </c>
      <c r="M7" s="215"/>
      <c r="N7" s="6"/>
    </row>
    <row r="8" spans="1:14" ht="15.75">
      <c r="A8" s="11">
        <f t="shared" ref="A8:A71" si="2">1+A7</f>
        <v>3</v>
      </c>
      <c r="B8" s="19" t="s">
        <v>483</v>
      </c>
      <c r="C8" s="19"/>
      <c r="D8" s="19"/>
      <c r="E8" s="355" t="s">
        <v>483</v>
      </c>
      <c r="F8" s="14">
        <v>414.75</v>
      </c>
      <c r="G8" s="74">
        <v>395</v>
      </c>
      <c r="H8" s="75">
        <v>19.75</v>
      </c>
      <c r="I8" s="14"/>
      <c r="J8" s="18">
        <f t="shared" si="0"/>
        <v>414.75</v>
      </c>
      <c r="K8" s="32"/>
      <c r="L8" s="33">
        <f t="shared" si="1"/>
        <v>0</v>
      </c>
      <c r="M8" s="215"/>
      <c r="N8" s="6"/>
    </row>
    <row r="9" spans="1:14" ht="15.75">
      <c r="A9" s="11">
        <f t="shared" si="2"/>
        <v>4</v>
      </c>
      <c r="B9" s="19" t="s">
        <v>484</v>
      </c>
      <c r="C9" s="19"/>
      <c r="D9" s="19"/>
      <c r="E9" s="356" t="s">
        <v>484</v>
      </c>
      <c r="F9" s="14">
        <v>414.75</v>
      </c>
      <c r="G9" s="74">
        <v>395</v>
      </c>
      <c r="H9" s="75">
        <v>19.75</v>
      </c>
      <c r="I9" s="14"/>
      <c r="J9" s="18">
        <f t="shared" si="0"/>
        <v>414.75</v>
      </c>
      <c r="K9" s="32"/>
      <c r="L9" s="33">
        <f t="shared" si="1"/>
        <v>0</v>
      </c>
      <c r="M9" s="215"/>
      <c r="N9" s="6"/>
    </row>
    <row r="10" spans="1:14" ht="15.75">
      <c r="A10" s="11">
        <f t="shared" si="2"/>
        <v>5</v>
      </c>
      <c r="B10" s="19">
        <v>9202729</v>
      </c>
      <c r="C10" s="19"/>
      <c r="D10" s="19"/>
      <c r="E10" s="355" t="s">
        <v>485</v>
      </c>
      <c r="F10" s="14">
        <v>525</v>
      </c>
      <c r="G10" s="74">
        <v>500</v>
      </c>
      <c r="H10" s="75">
        <v>25</v>
      </c>
      <c r="I10" s="14"/>
      <c r="J10" s="18">
        <f t="shared" si="0"/>
        <v>525</v>
      </c>
      <c r="K10" s="32"/>
      <c r="L10" s="33">
        <f t="shared" si="1"/>
        <v>0</v>
      </c>
      <c r="M10" s="215"/>
      <c r="N10" s="6"/>
    </row>
    <row r="11" spans="1:14" ht="15.75">
      <c r="A11" s="11">
        <f t="shared" si="2"/>
        <v>6</v>
      </c>
      <c r="B11" s="19" t="s">
        <v>486</v>
      </c>
      <c r="C11" s="19"/>
      <c r="D11" s="19"/>
      <c r="E11" s="357" t="s">
        <v>132</v>
      </c>
      <c r="F11" s="14">
        <v>210</v>
      </c>
      <c r="G11" s="20">
        <v>200</v>
      </c>
      <c r="H11" s="21">
        <v>10</v>
      </c>
      <c r="I11" s="14"/>
      <c r="J11" s="18">
        <f t="shared" si="0"/>
        <v>210</v>
      </c>
      <c r="K11" s="32"/>
      <c r="L11" s="33">
        <f t="shared" si="1"/>
        <v>0</v>
      </c>
      <c r="M11" s="215"/>
      <c r="N11" s="6"/>
    </row>
    <row r="12" spans="1:14" ht="15.75">
      <c r="A12" s="11">
        <f t="shared" si="2"/>
        <v>7</v>
      </c>
      <c r="B12" s="19" t="s">
        <v>487</v>
      </c>
      <c r="C12" s="19"/>
      <c r="D12" s="19"/>
      <c r="E12" s="357" t="s">
        <v>134</v>
      </c>
      <c r="F12" s="14">
        <v>341.25</v>
      </c>
      <c r="G12" s="20">
        <v>200</v>
      </c>
      <c r="H12" s="21">
        <v>10</v>
      </c>
      <c r="I12" s="14">
        <v>131.25</v>
      </c>
      <c r="J12" s="18">
        <f t="shared" si="0"/>
        <v>341.25</v>
      </c>
      <c r="K12" s="32"/>
      <c r="L12" s="33">
        <f t="shared" si="1"/>
        <v>0</v>
      </c>
      <c r="M12" s="215"/>
      <c r="N12" s="6"/>
    </row>
    <row r="13" spans="1:14" ht="15.75">
      <c r="A13" s="11">
        <f t="shared" si="2"/>
        <v>8</v>
      </c>
      <c r="B13" s="19" t="s">
        <v>488</v>
      </c>
      <c r="C13" s="19"/>
      <c r="D13" s="19"/>
      <c r="E13" s="357" t="s">
        <v>136</v>
      </c>
      <c r="F13" s="14">
        <v>210</v>
      </c>
      <c r="G13" s="20">
        <v>200</v>
      </c>
      <c r="H13" s="21">
        <v>10</v>
      </c>
      <c r="I13" s="14"/>
      <c r="J13" s="18">
        <f t="shared" si="0"/>
        <v>210</v>
      </c>
      <c r="K13" s="32"/>
      <c r="L13" s="33">
        <f t="shared" si="1"/>
        <v>0</v>
      </c>
      <c r="M13" s="215"/>
      <c r="N13" s="6"/>
    </row>
    <row r="14" spans="1:14" ht="15.75">
      <c r="A14" s="11">
        <f t="shared" si="2"/>
        <v>9</v>
      </c>
      <c r="B14" s="19" t="s">
        <v>489</v>
      </c>
      <c r="C14" s="19"/>
      <c r="D14" s="19"/>
      <c r="E14" s="357" t="s">
        <v>138</v>
      </c>
      <c r="F14" s="14">
        <v>210</v>
      </c>
      <c r="G14" s="20">
        <v>200</v>
      </c>
      <c r="H14" s="21">
        <v>10</v>
      </c>
      <c r="I14" s="14"/>
      <c r="J14" s="18">
        <f t="shared" si="0"/>
        <v>210</v>
      </c>
      <c r="K14" s="32"/>
      <c r="L14" s="33">
        <f t="shared" si="1"/>
        <v>0</v>
      </c>
      <c r="M14" s="215"/>
      <c r="N14" s="6"/>
    </row>
    <row r="15" spans="1:14" ht="15.75">
      <c r="A15" s="11">
        <f t="shared" si="2"/>
        <v>10</v>
      </c>
      <c r="B15" s="19" t="s">
        <v>490</v>
      </c>
      <c r="C15" s="19" t="s">
        <v>942</v>
      </c>
      <c r="D15" s="19">
        <v>101074</v>
      </c>
      <c r="E15" s="358" t="s">
        <v>79</v>
      </c>
      <c r="F15" s="14">
        <v>351.68</v>
      </c>
      <c r="G15" s="74">
        <v>325</v>
      </c>
      <c r="H15" s="75">
        <v>16.25</v>
      </c>
      <c r="I15" s="14">
        <v>10.43</v>
      </c>
      <c r="J15" s="18">
        <f t="shared" si="0"/>
        <v>351.68</v>
      </c>
      <c r="K15" s="32"/>
      <c r="L15" s="33">
        <f t="shared" si="1"/>
        <v>0</v>
      </c>
      <c r="M15" s="215"/>
      <c r="N15" s="6"/>
    </row>
    <row r="16" spans="1:14" ht="15.75">
      <c r="A16" s="11">
        <f t="shared" si="2"/>
        <v>11</v>
      </c>
      <c r="B16" s="19" t="s">
        <v>492</v>
      </c>
      <c r="C16" s="19"/>
      <c r="D16" s="19"/>
      <c r="E16" s="355" t="s">
        <v>493</v>
      </c>
      <c r="F16" s="14">
        <v>105</v>
      </c>
      <c r="G16" s="74">
        <v>100</v>
      </c>
      <c r="H16" s="75">
        <v>5</v>
      </c>
      <c r="I16" s="14"/>
      <c r="J16" s="18">
        <f t="shared" si="0"/>
        <v>105</v>
      </c>
      <c r="K16" s="32"/>
      <c r="L16" s="33">
        <f t="shared" si="1"/>
        <v>0</v>
      </c>
      <c r="M16" s="216" t="s">
        <v>494</v>
      </c>
      <c r="N16" s="6"/>
    </row>
    <row r="17" spans="1:16" ht="15.75">
      <c r="A17" s="11">
        <f t="shared" si="2"/>
        <v>12</v>
      </c>
      <c r="B17" s="19" t="s">
        <v>495</v>
      </c>
      <c r="C17" s="19"/>
      <c r="D17" s="19"/>
      <c r="E17" s="355" t="s">
        <v>496</v>
      </c>
      <c r="F17" s="14">
        <v>52.5</v>
      </c>
      <c r="G17" s="74">
        <v>50</v>
      </c>
      <c r="H17" s="75">
        <v>2.5</v>
      </c>
      <c r="I17" s="14"/>
      <c r="J17" s="18">
        <f t="shared" si="0"/>
        <v>52.5</v>
      </c>
      <c r="K17" s="32"/>
      <c r="L17" s="33">
        <f t="shared" si="1"/>
        <v>0</v>
      </c>
      <c r="M17" s="215"/>
      <c r="N17" s="6"/>
    </row>
    <row r="18" spans="1:16" ht="15.75">
      <c r="A18" s="11">
        <f t="shared" si="2"/>
        <v>13</v>
      </c>
      <c r="B18" s="19" t="s">
        <v>497</v>
      </c>
      <c r="C18" s="19" t="s">
        <v>942</v>
      </c>
      <c r="D18" s="19">
        <v>101028</v>
      </c>
      <c r="E18" s="356" t="s">
        <v>498</v>
      </c>
      <c r="F18" s="14">
        <v>106.26</v>
      </c>
      <c r="G18" s="53">
        <v>100</v>
      </c>
      <c r="H18" s="54">
        <v>5.25</v>
      </c>
      <c r="I18" s="248">
        <v>1.01</v>
      </c>
      <c r="J18" s="18">
        <f t="shared" si="0"/>
        <v>106.26</v>
      </c>
      <c r="K18" s="61"/>
      <c r="L18" s="33">
        <f t="shared" si="1"/>
        <v>0</v>
      </c>
      <c r="M18" s="215"/>
      <c r="N18" s="6"/>
    </row>
    <row r="19" spans="1:16" ht="15.75">
      <c r="A19" s="11">
        <f t="shared" si="2"/>
        <v>14</v>
      </c>
      <c r="B19" s="19" t="s">
        <v>499</v>
      </c>
      <c r="C19" s="19" t="s">
        <v>942</v>
      </c>
      <c r="D19" s="19">
        <v>101396</v>
      </c>
      <c r="E19" s="356" t="s">
        <v>500</v>
      </c>
      <c r="F19" s="14">
        <v>52.5</v>
      </c>
      <c r="G19" s="74">
        <v>50</v>
      </c>
      <c r="H19" s="75">
        <v>2.5</v>
      </c>
      <c r="I19" s="14"/>
      <c r="J19" s="18">
        <f t="shared" si="0"/>
        <v>52.5</v>
      </c>
      <c r="K19" s="32"/>
      <c r="L19" s="33">
        <f t="shared" si="1"/>
        <v>0</v>
      </c>
      <c r="M19" s="215"/>
      <c r="N19" s="6"/>
    </row>
    <row r="20" spans="1:16" ht="15.75">
      <c r="A20" s="11">
        <f t="shared" si="2"/>
        <v>15</v>
      </c>
      <c r="B20" s="19" t="s">
        <v>501</v>
      </c>
      <c r="C20" s="19" t="s">
        <v>942</v>
      </c>
      <c r="D20" s="19">
        <v>101268</v>
      </c>
      <c r="E20" s="356" t="s">
        <v>93</v>
      </c>
      <c r="F20" s="14">
        <v>152.5</v>
      </c>
      <c r="G20" s="74">
        <v>50</v>
      </c>
      <c r="H20" s="75">
        <v>2.5</v>
      </c>
      <c r="I20" s="14">
        <v>100</v>
      </c>
      <c r="J20" s="18">
        <f t="shared" si="0"/>
        <v>152.5</v>
      </c>
      <c r="K20" s="32"/>
      <c r="L20" s="33">
        <f t="shared" si="1"/>
        <v>0</v>
      </c>
      <c r="M20" s="215" t="s">
        <v>1072</v>
      </c>
      <c r="N20" s="6"/>
    </row>
    <row r="21" spans="1:16" ht="15.75">
      <c r="A21" s="11">
        <f t="shared" si="2"/>
        <v>16</v>
      </c>
      <c r="B21" s="19" t="s">
        <v>416</v>
      </c>
      <c r="C21" s="19" t="s">
        <v>942</v>
      </c>
      <c r="D21" s="19">
        <v>101611</v>
      </c>
      <c r="E21" s="355" t="s">
        <v>321</v>
      </c>
      <c r="F21" s="14">
        <v>52.5</v>
      </c>
      <c r="G21" s="20">
        <v>50</v>
      </c>
      <c r="H21" s="21">
        <v>2.5</v>
      </c>
      <c r="I21" s="62"/>
      <c r="J21" s="18">
        <f t="shared" si="0"/>
        <v>52.5</v>
      </c>
      <c r="K21" s="32"/>
      <c r="L21" s="33">
        <f t="shared" si="1"/>
        <v>0</v>
      </c>
      <c r="M21" s="215"/>
      <c r="N21" s="6"/>
    </row>
    <row r="22" spans="1:16" ht="15.75">
      <c r="A22" s="11">
        <f t="shared" si="2"/>
        <v>17</v>
      </c>
      <c r="B22" s="19" t="s">
        <v>502</v>
      </c>
      <c r="C22" s="19" t="s">
        <v>942</v>
      </c>
      <c r="D22" s="19">
        <v>101806</v>
      </c>
      <c r="E22" s="356" t="s">
        <v>503</v>
      </c>
      <c r="F22" s="14">
        <v>52.5</v>
      </c>
      <c r="G22" s="74">
        <v>50</v>
      </c>
      <c r="H22" s="54">
        <v>2.5</v>
      </c>
      <c r="I22" s="14"/>
      <c r="J22" s="18">
        <f t="shared" si="0"/>
        <v>52.5</v>
      </c>
      <c r="K22" s="32"/>
      <c r="L22" s="33">
        <f t="shared" si="1"/>
        <v>0</v>
      </c>
      <c r="M22" s="215"/>
      <c r="N22" s="6"/>
    </row>
    <row r="23" spans="1:16" ht="15.75">
      <c r="A23" s="11">
        <f t="shared" si="2"/>
        <v>18</v>
      </c>
      <c r="B23" s="19" t="s">
        <v>505</v>
      </c>
      <c r="C23" s="19" t="s">
        <v>942</v>
      </c>
      <c r="D23" s="19">
        <v>101849</v>
      </c>
      <c r="E23" s="356" t="s">
        <v>506</v>
      </c>
      <c r="F23" s="14">
        <v>52.5</v>
      </c>
      <c r="G23" s="20">
        <v>50</v>
      </c>
      <c r="H23" s="21">
        <v>2.5</v>
      </c>
      <c r="I23" s="248"/>
      <c r="J23" s="18">
        <f t="shared" si="0"/>
        <v>52.5</v>
      </c>
      <c r="K23" s="32"/>
      <c r="L23" s="33">
        <f t="shared" si="1"/>
        <v>0</v>
      </c>
      <c r="M23" s="215"/>
      <c r="N23" s="6"/>
    </row>
    <row r="24" spans="1:16" ht="15.75">
      <c r="A24" s="11">
        <f t="shared" si="2"/>
        <v>19</v>
      </c>
      <c r="B24" s="19" t="s">
        <v>943</v>
      </c>
      <c r="C24" s="19" t="s">
        <v>942</v>
      </c>
      <c r="D24" s="19">
        <v>105208</v>
      </c>
      <c r="E24" s="356" t="s">
        <v>944</v>
      </c>
      <c r="F24" s="14">
        <v>52.5</v>
      </c>
      <c r="G24" s="56">
        <v>50</v>
      </c>
      <c r="H24" s="21">
        <v>2.5</v>
      </c>
      <c r="I24" s="147"/>
      <c r="J24" s="18">
        <f>SUM(G24+H24+I24)</f>
        <v>52.5</v>
      </c>
      <c r="K24" s="41"/>
      <c r="L24" s="85">
        <f>+(F24-((SUM(J24+K24))))</f>
        <v>0</v>
      </c>
      <c r="M24" s="218"/>
      <c r="N24" s="6" t="s">
        <v>1073</v>
      </c>
    </row>
    <row r="25" spans="1:16" ht="15.75">
      <c r="A25" s="11">
        <f t="shared" si="2"/>
        <v>20</v>
      </c>
      <c r="B25" s="55" t="s">
        <v>945</v>
      </c>
      <c r="C25" s="55" t="s">
        <v>942</v>
      </c>
      <c r="D25" s="55">
        <v>105165</v>
      </c>
      <c r="E25" s="356" t="s">
        <v>946</v>
      </c>
      <c r="F25" s="147">
        <v>52.5</v>
      </c>
      <c r="G25" s="56">
        <v>50</v>
      </c>
      <c r="H25" s="21">
        <v>2.5</v>
      </c>
      <c r="I25" s="147"/>
      <c r="J25" s="18">
        <f>SUM(G25+H25+I25)</f>
        <v>52.5</v>
      </c>
      <c r="K25" s="41"/>
      <c r="L25" s="85">
        <f>+(F25-((SUM(J25+K25))))</f>
        <v>0</v>
      </c>
      <c r="M25" s="37"/>
      <c r="N25" s="40"/>
    </row>
    <row r="26" spans="1:16" ht="15.75">
      <c r="A26" s="11">
        <f t="shared" si="2"/>
        <v>21</v>
      </c>
      <c r="B26" s="19" t="s">
        <v>421</v>
      </c>
      <c r="C26" s="19" t="s">
        <v>942</v>
      </c>
      <c r="D26" s="19">
        <v>101555</v>
      </c>
      <c r="E26" s="356" t="s">
        <v>422</v>
      </c>
      <c r="F26" s="14">
        <v>105</v>
      </c>
      <c r="G26" s="74">
        <v>100</v>
      </c>
      <c r="H26" s="75">
        <v>5</v>
      </c>
      <c r="I26" s="14"/>
      <c r="J26" s="18">
        <f t="shared" si="0"/>
        <v>105</v>
      </c>
      <c r="K26" s="32"/>
      <c r="L26" s="33">
        <f t="shared" si="1"/>
        <v>0</v>
      </c>
      <c r="M26" s="215"/>
      <c r="N26" s="59" t="s">
        <v>525</v>
      </c>
    </row>
    <row r="27" spans="1:16" ht="15.75">
      <c r="A27" s="11">
        <f t="shared" si="2"/>
        <v>22</v>
      </c>
      <c r="B27" s="19" t="s">
        <v>507</v>
      </c>
      <c r="C27" s="19" t="s">
        <v>942</v>
      </c>
      <c r="D27" s="19">
        <v>101412</v>
      </c>
      <c r="E27" s="356" t="s">
        <v>183</v>
      </c>
      <c r="F27" s="14">
        <v>52.5</v>
      </c>
      <c r="G27" s="20">
        <v>50</v>
      </c>
      <c r="H27" s="21">
        <v>2.5</v>
      </c>
      <c r="I27" s="14"/>
      <c r="J27" s="18">
        <f t="shared" si="0"/>
        <v>52.5</v>
      </c>
      <c r="K27" s="32"/>
      <c r="L27" s="33">
        <f t="shared" si="1"/>
        <v>0</v>
      </c>
      <c r="M27" s="215"/>
      <c r="N27" s="60" t="s">
        <v>79</v>
      </c>
    </row>
    <row r="28" spans="1:16" ht="15.75">
      <c r="A28" s="11">
        <f t="shared" si="2"/>
        <v>23</v>
      </c>
      <c r="B28" s="19" t="s">
        <v>508</v>
      </c>
      <c r="C28" s="19" t="s">
        <v>942</v>
      </c>
      <c r="D28" s="19">
        <v>101057</v>
      </c>
      <c r="E28" s="355" t="s">
        <v>86</v>
      </c>
      <c r="F28" s="14">
        <v>52.5</v>
      </c>
      <c r="G28" s="74">
        <v>50</v>
      </c>
      <c r="H28" s="75">
        <v>2.5</v>
      </c>
      <c r="I28" s="14"/>
      <c r="J28" s="18">
        <f t="shared" si="0"/>
        <v>52.5</v>
      </c>
      <c r="K28" s="32"/>
      <c r="L28" s="33">
        <f t="shared" si="1"/>
        <v>0</v>
      </c>
      <c r="M28" s="215"/>
      <c r="N28" s="40"/>
    </row>
    <row r="29" spans="1:16" ht="15.75">
      <c r="A29" s="11">
        <f t="shared" si="2"/>
        <v>24</v>
      </c>
      <c r="B29" s="19" t="s">
        <v>509</v>
      </c>
      <c r="C29" s="19" t="s">
        <v>942</v>
      </c>
      <c r="D29" s="19">
        <v>101208</v>
      </c>
      <c r="E29" s="356" t="s">
        <v>510</v>
      </c>
      <c r="F29" s="14">
        <v>105</v>
      </c>
      <c r="G29" s="74">
        <v>100</v>
      </c>
      <c r="H29" s="75">
        <v>5</v>
      </c>
      <c r="I29" s="14"/>
      <c r="J29" s="18">
        <f t="shared" si="0"/>
        <v>105</v>
      </c>
      <c r="K29" s="32"/>
      <c r="L29" s="33">
        <f t="shared" si="1"/>
        <v>0</v>
      </c>
      <c r="M29" s="215"/>
      <c r="N29" s="40"/>
      <c r="P29" s="242"/>
    </row>
    <row r="30" spans="1:16" ht="15.75">
      <c r="A30" s="11">
        <f t="shared" si="2"/>
        <v>25</v>
      </c>
      <c r="B30" s="19" t="s">
        <v>511</v>
      </c>
      <c r="C30" s="19" t="s">
        <v>942</v>
      </c>
      <c r="D30" s="19">
        <v>101630</v>
      </c>
      <c r="E30" s="355" t="s">
        <v>512</v>
      </c>
      <c r="F30" s="14">
        <v>52.5</v>
      </c>
      <c r="G30" s="74">
        <v>50</v>
      </c>
      <c r="H30" s="75">
        <v>2.5</v>
      </c>
      <c r="I30" s="14"/>
      <c r="J30" s="18">
        <f t="shared" si="0"/>
        <v>52.5</v>
      </c>
      <c r="K30" s="32"/>
      <c r="L30" s="33">
        <f t="shared" si="1"/>
        <v>0</v>
      </c>
      <c r="M30" s="215"/>
      <c r="N30" s="40"/>
    </row>
    <row r="31" spans="1:16" ht="15.75">
      <c r="A31" s="11">
        <f t="shared" si="2"/>
        <v>26</v>
      </c>
      <c r="B31" s="19" t="s">
        <v>413</v>
      </c>
      <c r="C31" s="19" t="s">
        <v>942</v>
      </c>
      <c r="D31" s="19">
        <v>101754</v>
      </c>
      <c r="E31" s="356" t="s">
        <v>513</v>
      </c>
      <c r="F31" s="14">
        <v>52.5</v>
      </c>
      <c r="G31" s="74">
        <v>50</v>
      </c>
      <c r="H31" s="75">
        <v>2.5</v>
      </c>
      <c r="I31" s="14"/>
      <c r="J31" s="18">
        <f t="shared" si="0"/>
        <v>52.5</v>
      </c>
      <c r="K31" s="32"/>
      <c r="L31" s="33">
        <f t="shared" si="1"/>
        <v>0</v>
      </c>
      <c r="M31" s="215"/>
      <c r="N31" s="40"/>
    </row>
    <row r="32" spans="1:16" ht="15.75">
      <c r="A32" s="11">
        <f t="shared" si="2"/>
        <v>27</v>
      </c>
      <c r="B32" s="19" t="s">
        <v>515</v>
      </c>
      <c r="C32" s="19" t="s">
        <v>942</v>
      </c>
      <c r="D32" s="19">
        <v>101786</v>
      </c>
      <c r="E32" s="355" t="s">
        <v>516</v>
      </c>
      <c r="F32" s="14">
        <v>52.5</v>
      </c>
      <c r="G32" s="74">
        <v>50</v>
      </c>
      <c r="H32" s="75">
        <v>2.5</v>
      </c>
      <c r="I32" s="14"/>
      <c r="J32" s="18">
        <f t="shared" si="0"/>
        <v>52.5</v>
      </c>
      <c r="K32" s="32"/>
      <c r="L32" s="33">
        <f t="shared" si="1"/>
        <v>0</v>
      </c>
      <c r="M32" s="37"/>
      <c r="N32" s="195"/>
    </row>
    <row r="33" spans="1:14" ht="15.75">
      <c r="A33" s="11">
        <f t="shared" si="2"/>
        <v>28</v>
      </c>
      <c r="B33" s="19" t="s">
        <v>900</v>
      </c>
      <c r="C33" s="19" t="s">
        <v>942</v>
      </c>
      <c r="D33" s="19">
        <v>101755</v>
      </c>
      <c r="E33" s="356" t="s">
        <v>901</v>
      </c>
      <c r="F33" s="14">
        <v>52.5</v>
      </c>
      <c r="G33" s="74">
        <v>50</v>
      </c>
      <c r="H33" s="54">
        <v>2.5</v>
      </c>
      <c r="I33" s="14"/>
      <c r="J33" s="18">
        <f t="shared" si="0"/>
        <v>52.5</v>
      </c>
      <c r="K33" s="32"/>
      <c r="L33" s="33">
        <f>+(F33-((SUM(J33+K33))))</f>
        <v>0</v>
      </c>
      <c r="M33" s="37"/>
      <c r="N33" s="194"/>
    </row>
    <row r="34" spans="1:14" ht="15.75">
      <c r="A34" s="11">
        <f t="shared" si="2"/>
        <v>29</v>
      </c>
      <c r="B34" s="19" t="s">
        <v>948</v>
      </c>
      <c r="C34" s="19" t="s">
        <v>942</v>
      </c>
      <c r="D34" s="19">
        <v>105127</v>
      </c>
      <c r="E34" s="356" t="s">
        <v>949</v>
      </c>
      <c r="F34" s="14">
        <v>52.5</v>
      </c>
      <c r="G34" s="20">
        <v>50</v>
      </c>
      <c r="H34" s="21">
        <v>2.5</v>
      </c>
      <c r="I34" s="14"/>
      <c r="J34" s="18">
        <f>SUM(G34+H34+I34)</f>
        <v>52.5</v>
      </c>
      <c r="K34" s="32"/>
      <c r="L34" s="33">
        <f>+(F34-((SUM(J34+K34))))</f>
        <v>0</v>
      </c>
      <c r="M34" s="218"/>
      <c r="N34" s="6" t="s">
        <v>539</v>
      </c>
    </row>
    <row r="35" spans="1:14" ht="15.75">
      <c r="A35" s="11">
        <f t="shared" si="2"/>
        <v>30</v>
      </c>
      <c r="B35" s="55" t="s">
        <v>950</v>
      </c>
      <c r="C35" s="55" t="s">
        <v>942</v>
      </c>
      <c r="D35" s="55">
        <v>105164</v>
      </c>
      <c r="E35" s="356" t="s">
        <v>951</v>
      </c>
      <c r="F35" s="147">
        <v>52.5</v>
      </c>
      <c r="G35" s="56">
        <v>50</v>
      </c>
      <c r="H35" s="21">
        <v>2.5</v>
      </c>
      <c r="I35" s="147"/>
      <c r="J35" s="18">
        <f>SUM(G35+H35+I35)</f>
        <v>52.5</v>
      </c>
      <c r="K35" s="41"/>
      <c r="L35" s="85">
        <f>+(F35-((SUM(J35+K35))))</f>
        <v>0</v>
      </c>
      <c r="M35" s="218"/>
      <c r="N35" s="6" t="s">
        <v>542</v>
      </c>
    </row>
    <row r="36" spans="1:14" ht="15.75">
      <c r="A36" s="11">
        <f t="shared" si="2"/>
        <v>31</v>
      </c>
      <c r="B36" s="19" t="s">
        <v>517</v>
      </c>
      <c r="C36" s="19"/>
      <c r="D36" s="19"/>
      <c r="E36" s="356" t="s">
        <v>153</v>
      </c>
      <c r="F36" s="14">
        <v>52.5</v>
      </c>
      <c r="G36" s="20">
        <v>50</v>
      </c>
      <c r="H36" s="21">
        <v>2.5</v>
      </c>
      <c r="I36" s="14"/>
      <c r="J36" s="18">
        <f t="shared" si="0"/>
        <v>52.5</v>
      </c>
      <c r="K36" s="32"/>
      <c r="L36" s="33">
        <f t="shared" si="1"/>
        <v>0</v>
      </c>
      <c r="M36" s="215"/>
      <c r="N36" s="40"/>
    </row>
    <row r="37" spans="1:14" ht="15.75">
      <c r="A37" s="11">
        <f t="shared" si="2"/>
        <v>32</v>
      </c>
      <c r="B37" s="19" t="s">
        <v>403</v>
      </c>
      <c r="C37" s="19"/>
      <c r="D37" s="19"/>
      <c r="E37" s="356" t="s">
        <v>518</v>
      </c>
      <c r="F37" s="14">
        <v>52.5</v>
      </c>
      <c r="G37" s="20">
        <v>50</v>
      </c>
      <c r="H37" s="21">
        <v>2.5</v>
      </c>
      <c r="I37" s="14"/>
      <c r="J37" s="18">
        <f t="shared" si="0"/>
        <v>52.5</v>
      </c>
      <c r="K37" s="32"/>
      <c r="L37" s="33">
        <f t="shared" si="1"/>
        <v>0</v>
      </c>
      <c r="M37" s="215"/>
      <c r="N37" s="40"/>
    </row>
    <row r="38" spans="1:14" ht="15.75">
      <c r="A38" s="11">
        <f t="shared" si="2"/>
        <v>33</v>
      </c>
      <c r="B38" s="132" t="s">
        <v>519</v>
      </c>
      <c r="C38" s="197"/>
      <c r="D38" s="197"/>
      <c r="E38" s="356" t="s">
        <v>520</v>
      </c>
      <c r="F38" s="14">
        <v>52.5</v>
      </c>
      <c r="G38" s="238">
        <v>50</v>
      </c>
      <c r="H38" s="131">
        <v>2.5</v>
      </c>
      <c r="I38" s="14"/>
      <c r="J38" s="18">
        <f t="shared" si="0"/>
        <v>52.5</v>
      </c>
      <c r="K38" s="32"/>
      <c r="L38" s="33">
        <f t="shared" si="1"/>
        <v>0</v>
      </c>
      <c r="M38" s="215"/>
      <c r="N38" s="40"/>
    </row>
    <row r="39" spans="1:14" ht="15.75">
      <c r="A39" s="11">
        <f t="shared" si="2"/>
        <v>34</v>
      </c>
      <c r="B39" s="19" t="s">
        <v>523</v>
      </c>
      <c r="C39" s="19" t="s">
        <v>942</v>
      </c>
      <c r="D39" s="19">
        <v>105597</v>
      </c>
      <c r="E39" s="356" t="s">
        <v>1074</v>
      </c>
      <c r="F39" s="14">
        <v>105</v>
      </c>
      <c r="G39" s="74">
        <v>100</v>
      </c>
      <c r="H39" s="54">
        <v>5</v>
      </c>
      <c r="I39" s="14"/>
      <c r="J39" s="18">
        <f t="shared" si="0"/>
        <v>105</v>
      </c>
      <c r="K39" s="32"/>
      <c r="L39" s="33">
        <f t="shared" si="1"/>
        <v>0</v>
      </c>
      <c r="M39" s="215"/>
      <c r="N39" s="195"/>
    </row>
    <row r="40" spans="1:14" ht="15.75">
      <c r="A40" s="11">
        <f t="shared" si="2"/>
        <v>35</v>
      </c>
      <c r="B40" s="19" t="s">
        <v>526</v>
      </c>
      <c r="C40" s="19" t="s">
        <v>942</v>
      </c>
      <c r="D40" s="19">
        <v>101859</v>
      </c>
      <c r="E40" s="355" t="s">
        <v>74</v>
      </c>
      <c r="F40" s="14">
        <v>105</v>
      </c>
      <c r="G40" s="74">
        <v>100</v>
      </c>
      <c r="H40" s="75">
        <v>5</v>
      </c>
      <c r="I40" s="14"/>
      <c r="J40" s="18">
        <f t="shared" si="0"/>
        <v>105</v>
      </c>
      <c r="K40" s="32"/>
      <c r="L40" s="33">
        <f t="shared" si="1"/>
        <v>0</v>
      </c>
      <c r="M40" s="215"/>
      <c r="N40" s="194"/>
    </row>
    <row r="41" spans="1:14" ht="15.75">
      <c r="A41" s="11">
        <f t="shared" si="2"/>
        <v>36</v>
      </c>
      <c r="B41" s="19" t="s">
        <v>527</v>
      </c>
      <c r="C41" s="19" t="s">
        <v>942</v>
      </c>
      <c r="D41" s="19">
        <v>101564</v>
      </c>
      <c r="E41" s="356" t="s">
        <v>528</v>
      </c>
      <c r="F41" s="14">
        <v>210</v>
      </c>
      <c r="G41" s="74">
        <v>200</v>
      </c>
      <c r="H41" s="75">
        <v>10</v>
      </c>
      <c r="I41" s="14"/>
      <c r="J41" s="18">
        <f t="shared" si="0"/>
        <v>210</v>
      </c>
      <c r="K41" s="32"/>
      <c r="L41" s="33">
        <f t="shared" si="1"/>
        <v>0</v>
      </c>
      <c r="M41" s="215"/>
      <c r="N41" s="6" t="s">
        <v>557</v>
      </c>
    </row>
    <row r="42" spans="1:14" ht="15.75">
      <c r="A42" s="11">
        <f t="shared" si="2"/>
        <v>37</v>
      </c>
      <c r="B42" s="19" t="s">
        <v>529</v>
      </c>
      <c r="C42" s="19" t="s">
        <v>942</v>
      </c>
      <c r="D42" s="19">
        <v>101748</v>
      </c>
      <c r="E42" s="356" t="s">
        <v>530</v>
      </c>
      <c r="F42" s="14">
        <v>52.5</v>
      </c>
      <c r="G42" s="74">
        <v>50</v>
      </c>
      <c r="H42" s="75">
        <v>2.5</v>
      </c>
      <c r="I42" s="14"/>
      <c r="J42" s="18">
        <f t="shared" si="0"/>
        <v>52.5</v>
      </c>
      <c r="K42" s="32"/>
      <c r="L42" s="33">
        <f t="shared" si="1"/>
        <v>0</v>
      </c>
      <c r="M42" s="215"/>
      <c r="N42" s="6" t="s">
        <v>559</v>
      </c>
    </row>
    <row r="43" spans="1:14" ht="15.75">
      <c r="A43" s="11">
        <f t="shared" si="2"/>
        <v>38</v>
      </c>
      <c r="B43" s="19" t="s">
        <v>531</v>
      </c>
      <c r="C43" s="19" t="s">
        <v>942</v>
      </c>
      <c r="D43" s="19">
        <v>101608</v>
      </c>
      <c r="E43" s="355" t="s">
        <v>532</v>
      </c>
      <c r="F43" s="14">
        <v>105</v>
      </c>
      <c r="G43" s="74">
        <v>100</v>
      </c>
      <c r="H43" s="75">
        <v>5</v>
      </c>
      <c r="I43" s="14"/>
      <c r="J43" s="18">
        <f t="shared" si="0"/>
        <v>105</v>
      </c>
      <c r="K43" s="32"/>
      <c r="L43" s="33">
        <f t="shared" si="1"/>
        <v>0</v>
      </c>
      <c r="M43" s="215"/>
      <c r="N43" s="6"/>
    </row>
    <row r="44" spans="1:14" ht="15.75">
      <c r="A44" s="11">
        <f t="shared" si="2"/>
        <v>39</v>
      </c>
      <c r="B44" s="19" t="s">
        <v>533</v>
      </c>
      <c r="C44" s="19" t="s">
        <v>942</v>
      </c>
      <c r="D44" s="19">
        <v>101845</v>
      </c>
      <c r="E44" s="356" t="s">
        <v>534</v>
      </c>
      <c r="F44" s="14">
        <v>262.60000000000002</v>
      </c>
      <c r="G44" s="53">
        <v>200</v>
      </c>
      <c r="H44" s="54">
        <v>10</v>
      </c>
      <c r="I44" s="14">
        <v>52.6</v>
      </c>
      <c r="J44" s="18">
        <f t="shared" si="0"/>
        <v>262.60000000000002</v>
      </c>
      <c r="K44" s="32"/>
      <c r="L44" s="33">
        <f t="shared" si="1"/>
        <v>0</v>
      </c>
      <c r="M44" s="215" t="s">
        <v>1075</v>
      </c>
    </row>
    <row r="45" spans="1:14" ht="15.75">
      <c r="A45" s="11">
        <f t="shared" si="2"/>
        <v>40</v>
      </c>
      <c r="B45" s="19" t="s">
        <v>535</v>
      </c>
      <c r="C45" s="19" t="s">
        <v>942</v>
      </c>
      <c r="D45" s="19">
        <v>101022</v>
      </c>
      <c r="E45" s="356" t="s">
        <v>185</v>
      </c>
      <c r="F45" s="14">
        <v>165.91</v>
      </c>
      <c r="G45" s="20">
        <v>100</v>
      </c>
      <c r="H45" s="21">
        <v>5</v>
      </c>
      <c r="I45" s="14">
        <v>60.91</v>
      </c>
      <c r="J45" s="18">
        <f t="shared" si="0"/>
        <v>165.91</v>
      </c>
      <c r="K45" s="32"/>
      <c r="L45" s="33">
        <f t="shared" si="1"/>
        <v>0</v>
      </c>
      <c r="M45" s="215" t="s">
        <v>1076</v>
      </c>
    </row>
    <row r="46" spans="1:14" ht="15.75">
      <c r="A46" s="11">
        <f t="shared" si="2"/>
        <v>41</v>
      </c>
      <c r="B46" s="19" t="s">
        <v>536</v>
      </c>
      <c r="C46" s="19" t="s">
        <v>942</v>
      </c>
      <c r="D46" s="19">
        <v>101864</v>
      </c>
      <c r="E46" s="356" t="s">
        <v>537</v>
      </c>
      <c r="F46" s="14">
        <v>52.5</v>
      </c>
      <c r="G46" s="74">
        <v>50</v>
      </c>
      <c r="H46" s="75">
        <v>2.5</v>
      </c>
      <c r="I46" s="14"/>
      <c r="J46" s="18">
        <f t="shared" si="0"/>
        <v>52.5</v>
      </c>
      <c r="K46" s="32"/>
      <c r="L46" s="33">
        <f t="shared" si="1"/>
        <v>0</v>
      </c>
      <c r="M46" s="215"/>
    </row>
    <row r="47" spans="1:14" ht="15.75">
      <c r="A47" s="11">
        <f t="shared" si="2"/>
        <v>42</v>
      </c>
      <c r="B47" s="19" t="s">
        <v>981</v>
      </c>
      <c r="C47" s="19" t="s">
        <v>942</v>
      </c>
      <c r="D47" s="19">
        <v>105175</v>
      </c>
      <c r="E47" s="356" t="s">
        <v>982</v>
      </c>
      <c r="F47" s="14">
        <v>105</v>
      </c>
      <c r="G47" s="20">
        <v>100</v>
      </c>
      <c r="H47" s="21">
        <v>5</v>
      </c>
      <c r="I47" s="14"/>
      <c r="J47" s="18">
        <f>SUM(G47+H47+I47)</f>
        <v>105</v>
      </c>
      <c r="K47" s="41"/>
      <c r="L47" s="85">
        <f>+(F47-((SUM(J47+K47))))</f>
        <v>0</v>
      </c>
      <c r="M47" s="218"/>
    </row>
    <row r="48" spans="1:14" ht="15.75">
      <c r="A48" s="11">
        <f t="shared" si="2"/>
        <v>43</v>
      </c>
      <c r="B48" s="19" t="s">
        <v>538</v>
      </c>
      <c r="C48" s="19" t="s">
        <v>942</v>
      </c>
      <c r="D48" s="19">
        <v>101429</v>
      </c>
      <c r="E48" s="356" t="s">
        <v>165</v>
      </c>
      <c r="F48" s="14">
        <v>52.5</v>
      </c>
      <c r="G48" s="20">
        <v>50</v>
      </c>
      <c r="H48" s="21">
        <v>2.5</v>
      </c>
      <c r="I48" s="14"/>
      <c r="J48" s="18">
        <f t="shared" si="0"/>
        <v>52.5</v>
      </c>
      <c r="K48" s="32"/>
      <c r="L48" s="33">
        <f t="shared" si="1"/>
        <v>0</v>
      </c>
      <c r="M48" s="215"/>
    </row>
    <row r="49" spans="1:14" ht="15.75">
      <c r="A49" s="11">
        <f t="shared" si="2"/>
        <v>44</v>
      </c>
      <c r="B49" s="19" t="s">
        <v>540</v>
      </c>
      <c r="C49" s="19" t="s">
        <v>942</v>
      </c>
      <c r="D49" s="19">
        <v>101790</v>
      </c>
      <c r="E49" s="356" t="s">
        <v>541</v>
      </c>
      <c r="F49" s="14">
        <v>52.5</v>
      </c>
      <c r="G49" s="74">
        <v>50</v>
      </c>
      <c r="H49" s="54">
        <v>2.5</v>
      </c>
      <c r="I49" s="14"/>
      <c r="J49" s="18">
        <f t="shared" si="0"/>
        <v>52.5</v>
      </c>
      <c r="K49" s="32"/>
      <c r="L49" s="33">
        <f t="shared" si="1"/>
        <v>0</v>
      </c>
      <c r="M49" s="37"/>
    </row>
    <row r="50" spans="1:14" ht="15.75">
      <c r="A50" s="11">
        <f t="shared" si="2"/>
        <v>45</v>
      </c>
      <c r="B50" s="19" t="s">
        <v>545</v>
      </c>
      <c r="C50" s="19" t="s">
        <v>942</v>
      </c>
      <c r="D50" s="19">
        <v>101848</v>
      </c>
      <c r="E50" s="355" t="s">
        <v>546</v>
      </c>
      <c r="F50" s="14">
        <v>74.58</v>
      </c>
      <c r="G50" s="74">
        <v>50</v>
      </c>
      <c r="H50" s="75">
        <v>2.5</v>
      </c>
      <c r="I50" s="14">
        <v>22.08</v>
      </c>
      <c r="J50" s="18">
        <f t="shared" si="0"/>
        <v>74.58</v>
      </c>
      <c r="K50" s="32"/>
      <c r="L50" s="33">
        <f t="shared" si="1"/>
        <v>0</v>
      </c>
      <c r="M50" s="215" t="s">
        <v>1077</v>
      </c>
    </row>
    <row r="51" spans="1:14" ht="15.75">
      <c r="A51" s="11">
        <f t="shared" si="2"/>
        <v>46</v>
      </c>
      <c r="B51" s="30" t="s">
        <v>558</v>
      </c>
      <c r="C51" s="19" t="s">
        <v>942</v>
      </c>
      <c r="D51" s="19">
        <v>101451</v>
      </c>
      <c r="E51" s="359" t="s">
        <v>125</v>
      </c>
      <c r="F51" s="14">
        <v>117.75</v>
      </c>
      <c r="G51" s="74">
        <v>100</v>
      </c>
      <c r="H51" s="75">
        <v>5</v>
      </c>
      <c r="I51" s="249">
        <v>12.75</v>
      </c>
      <c r="J51" s="18">
        <f t="shared" si="0"/>
        <v>117.75</v>
      </c>
      <c r="K51" s="35"/>
      <c r="L51" s="36">
        <f t="shared" si="1"/>
        <v>0</v>
      </c>
      <c r="M51" s="37" t="s">
        <v>1077</v>
      </c>
    </row>
    <row r="52" spans="1:14" ht="18.75" customHeight="1">
      <c r="A52" s="11">
        <f t="shared" si="2"/>
        <v>47</v>
      </c>
      <c r="B52" s="19" t="s">
        <v>560</v>
      </c>
      <c r="C52" s="19" t="s">
        <v>942</v>
      </c>
      <c r="D52" s="19">
        <v>101760</v>
      </c>
      <c r="E52" s="356" t="s">
        <v>561</v>
      </c>
      <c r="F52" s="14">
        <v>52.5</v>
      </c>
      <c r="G52" s="74">
        <v>50</v>
      </c>
      <c r="H52" s="75">
        <v>2.5</v>
      </c>
      <c r="I52" s="14"/>
      <c r="J52" s="18">
        <f t="shared" si="0"/>
        <v>52.5</v>
      </c>
      <c r="K52" s="32"/>
      <c r="L52" s="33">
        <f t="shared" si="1"/>
        <v>0</v>
      </c>
      <c r="M52" s="215"/>
    </row>
    <row r="53" spans="1:14" ht="17.25" customHeight="1">
      <c r="A53" s="11">
        <f t="shared" si="2"/>
        <v>48</v>
      </c>
      <c r="B53" s="19" t="s">
        <v>562</v>
      </c>
      <c r="C53" s="19" t="s">
        <v>942</v>
      </c>
      <c r="D53" s="19">
        <v>101575</v>
      </c>
      <c r="E53" s="356" t="s">
        <v>563</v>
      </c>
      <c r="F53" s="14">
        <v>52.5</v>
      </c>
      <c r="G53" s="20">
        <v>50</v>
      </c>
      <c r="H53" s="75">
        <v>2.5</v>
      </c>
      <c r="I53" s="14"/>
      <c r="J53" s="18">
        <f t="shared" si="0"/>
        <v>52.5</v>
      </c>
      <c r="K53" s="32"/>
      <c r="L53" s="33">
        <f t="shared" si="1"/>
        <v>0</v>
      </c>
      <c r="M53" s="215"/>
    </row>
    <row r="54" spans="1:14" ht="16.5" customHeight="1">
      <c r="A54" s="11">
        <f t="shared" si="2"/>
        <v>49</v>
      </c>
      <c r="B54" s="19" t="s">
        <v>564</v>
      </c>
      <c r="C54" s="19" t="s">
        <v>942</v>
      </c>
      <c r="D54" s="19">
        <v>101852</v>
      </c>
      <c r="E54" s="356" t="s">
        <v>307</v>
      </c>
      <c r="F54" s="14">
        <v>105</v>
      </c>
      <c r="G54" s="53">
        <v>100</v>
      </c>
      <c r="H54" s="54">
        <v>5</v>
      </c>
      <c r="I54" s="248"/>
      <c r="J54" s="18">
        <f t="shared" si="0"/>
        <v>105</v>
      </c>
      <c r="K54" s="61"/>
      <c r="L54" s="33">
        <f>+(F54-((SUM(J54+K54))))</f>
        <v>0</v>
      </c>
      <c r="M54" s="37"/>
    </row>
    <row r="55" spans="1:14" ht="15.75">
      <c r="A55" s="11">
        <f t="shared" si="2"/>
        <v>50</v>
      </c>
      <c r="B55" s="30" t="s">
        <v>565</v>
      </c>
      <c r="C55" s="19" t="s">
        <v>942</v>
      </c>
      <c r="D55" s="19">
        <v>101622</v>
      </c>
      <c r="E55" s="315" t="s">
        <v>566</v>
      </c>
      <c r="F55" s="14">
        <v>52.5</v>
      </c>
      <c r="G55" s="74">
        <v>50</v>
      </c>
      <c r="H55" s="75">
        <v>2.5</v>
      </c>
      <c r="I55" s="249"/>
      <c r="J55" s="18">
        <f t="shared" si="0"/>
        <v>52.5</v>
      </c>
      <c r="K55" s="35"/>
      <c r="L55" s="36">
        <f t="shared" si="1"/>
        <v>0</v>
      </c>
      <c r="M55" s="215"/>
    </row>
    <row r="56" spans="1:14" ht="15.75">
      <c r="A56" s="11">
        <f t="shared" si="2"/>
        <v>51</v>
      </c>
      <c r="B56" s="19" t="s">
        <v>60</v>
      </c>
      <c r="C56" s="19" t="s">
        <v>942</v>
      </c>
      <c r="D56" s="19">
        <v>101744</v>
      </c>
      <c r="E56" s="356" t="s">
        <v>62</v>
      </c>
      <c r="F56" s="14">
        <v>136.5</v>
      </c>
      <c r="G56" s="53">
        <v>50</v>
      </c>
      <c r="H56" s="54">
        <v>2.5</v>
      </c>
      <c r="I56" s="14">
        <v>84</v>
      </c>
      <c r="J56" s="18">
        <f t="shared" si="0"/>
        <v>136.5</v>
      </c>
      <c r="K56" s="32"/>
      <c r="L56" s="33">
        <f t="shared" si="1"/>
        <v>0</v>
      </c>
      <c r="M56" s="215"/>
    </row>
    <row r="57" spans="1:14" ht="15.75">
      <c r="A57" s="11">
        <f t="shared" si="2"/>
        <v>52</v>
      </c>
      <c r="B57" s="19" t="s">
        <v>576</v>
      </c>
      <c r="C57" s="19" t="s">
        <v>942</v>
      </c>
      <c r="D57" s="19">
        <v>101501</v>
      </c>
      <c r="E57" s="355" t="s">
        <v>577</v>
      </c>
      <c r="F57" s="14">
        <v>52.5</v>
      </c>
      <c r="G57" s="74">
        <v>50</v>
      </c>
      <c r="H57" s="75">
        <v>2.5</v>
      </c>
      <c r="I57" s="14"/>
      <c r="J57" s="18">
        <f t="shared" si="0"/>
        <v>52.5</v>
      </c>
      <c r="K57" s="32"/>
      <c r="L57" s="33">
        <f t="shared" si="1"/>
        <v>0</v>
      </c>
      <c r="M57" s="215"/>
    </row>
    <row r="58" spans="1:14" ht="15.75">
      <c r="A58" s="11">
        <f t="shared" si="2"/>
        <v>53</v>
      </c>
      <c r="B58" s="280" t="s">
        <v>999</v>
      </c>
      <c r="C58" s="12" t="s">
        <v>942</v>
      </c>
      <c r="D58" s="19">
        <v>101908</v>
      </c>
      <c r="E58" s="315" t="s">
        <v>1000</v>
      </c>
      <c r="F58" s="14">
        <v>52.5</v>
      </c>
      <c r="G58" s="74">
        <v>50</v>
      </c>
      <c r="H58" s="75">
        <v>2.5</v>
      </c>
      <c r="I58" s="249"/>
      <c r="J58" s="18">
        <f>SUM(G58+H58+I58)</f>
        <v>52.5</v>
      </c>
      <c r="K58" s="35"/>
      <c r="L58" s="36">
        <f>+(F58-((SUM(J58+K58))))</f>
        <v>0</v>
      </c>
      <c r="M58" s="215"/>
    </row>
    <row r="59" spans="1:14" ht="15.75">
      <c r="A59" s="11">
        <f t="shared" si="2"/>
        <v>54</v>
      </c>
      <c r="B59" s="301" t="s">
        <v>1053</v>
      </c>
      <c r="C59" s="197" t="s">
        <v>942</v>
      </c>
      <c r="D59" s="197">
        <v>105555</v>
      </c>
      <c r="E59" s="356" t="s">
        <v>1055</v>
      </c>
      <c r="F59" s="14">
        <v>52.95</v>
      </c>
      <c r="G59" s="238">
        <v>50</v>
      </c>
      <c r="H59" s="131">
        <v>2.5</v>
      </c>
      <c r="I59" s="14">
        <v>0.45</v>
      </c>
      <c r="J59" s="18">
        <f>SUM(G59+H59+I59)</f>
        <v>52.95</v>
      </c>
      <c r="K59" s="32"/>
      <c r="L59" s="33">
        <f>+(F59-((SUM(J59+K59))))</f>
        <v>0</v>
      </c>
      <c r="M59" s="215"/>
    </row>
    <row r="60" spans="1:14" ht="15.75">
      <c r="A60" s="11">
        <f t="shared" si="2"/>
        <v>55</v>
      </c>
      <c r="B60" s="19" t="s">
        <v>578</v>
      </c>
      <c r="C60" s="19" t="s">
        <v>942</v>
      </c>
      <c r="D60" s="19">
        <v>101574</v>
      </c>
      <c r="E60" s="355" t="s">
        <v>579</v>
      </c>
      <c r="F60" s="14">
        <v>105</v>
      </c>
      <c r="G60" s="20">
        <v>100</v>
      </c>
      <c r="H60" s="21">
        <v>5</v>
      </c>
      <c r="I60" s="248"/>
      <c r="J60" s="18">
        <f t="shared" si="0"/>
        <v>105</v>
      </c>
      <c r="K60" s="32"/>
      <c r="L60" s="33">
        <f t="shared" si="1"/>
        <v>0</v>
      </c>
      <c r="M60" s="215"/>
    </row>
    <row r="61" spans="1:14" ht="16.5" customHeight="1">
      <c r="A61" s="11">
        <f t="shared" si="2"/>
        <v>56</v>
      </c>
      <c r="B61" s="393" t="s">
        <v>1027</v>
      </c>
      <c r="C61" s="19" t="s">
        <v>942</v>
      </c>
      <c r="D61" s="385">
        <v>105501</v>
      </c>
      <c r="E61" s="315" t="s">
        <v>1078</v>
      </c>
      <c r="F61" s="14">
        <v>150.5</v>
      </c>
      <c r="G61" s="20">
        <v>143.33000000000001</v>
      </c>
      <c r="H61" s="21">
        <v>7.17</v>
      </c>
      <c r="I61" s="248"/>
      <c r="J61" s="18">
        <f t="shared" ref="J61:J69" si="3">SUM(G61+H61+I61)</f>
        <v>150.5</v>
      </c>
      <c r="K61" s="32"/>
      <c r="L61" s="33">
        <f t="shared" ref="L61:L69" si="4">+(F61-((SUM(J61+K61))))</f>
        <v>0</v>
      </c>
      <c r="M61" s="215" t="s">
        <v>1079</v>
      </c>
    </row>
    <row r="62" spans="1:14" ht="15.75">
      <c r="A62" s="11">
        <f t="shared" si="2"/>
        <v>57</v>
      </c>
      <c r="B62" s="394" t="s">
        <v>1027</v>
      </c>
      <c r="C62" s="276" t="s">
        <v>942</v>
      </c>
      <c r="D62" s="395">
        <v>105501</v>
      </c>
      <c r="E62" s="317" t="s">
        <v>1028</v>
      </c>
      <c r="F62" s="268">
        <v>52.5</v>
      </c>
      <c r="G62" s="269">
        <v>50</v>
      </c>
      <c r="H62" s="21">
        <v>2.5</v>
      </c>
      <c r="I62" s="248"/>
      <c r="J62" s="18">
        <f t="shared" si="3"/>
        <v>52.5</v>
      </c>
      <c r="K62" s="32"/>
      <c r="L62" s="33">
        <f t="shared" si="4"/>
        <v>0</v>
      </c>
      <c r="M62" s="215"/>
    </row>
    <row r="63" spans="1:14" ht="15.75">
      <c r="A63" s="11">
        <f t="shared" si="2"/>
        <v>58</v>
      </c>
      <c r="B63" s="19" t="s">
        <v>582</v>
      </c>
      <c r="C63" s="19" t="s">
        <v>942</v>
      </c>
      <c r="D63" s="19">
        <v>101885</v>
      </c>
      <c r="E63" s="356" t="s">
        <v>583</v>
      </c>
      <c r="F63" s="14">
        <v>52.5</v>
      </c>
      <c r="G63" s="74">
        <v>50</v>
      </c>
      <c r="H63" s="21">
        <v>2.5</v>
      </c>
      <c r="I63" s="248"/>
      <c r="J63" s="18">
        <f t="shared" si="3"/>
        <v>52.5</v>
      </c>
      <c r="K63" s="32"/>
      <c r="L63" s="33">
        <f t="shared" si="4"/>
        <v>0</v>
      </c>
      <c r="M63" s="215"/>
    </row>
    <row r="64" spans="1:14" ht="15.75">
      <c r="A64" s="11">
        <f t="shared" si="2"/>
        <v>59</v>
      </c>
      <c r="B64" s="333" t="s">
        <v>1007</v>
      </c>
      <c r="C64" s="19" t="s">
        <v>942</v>
      </c>
      <c r="D64" s="342">
        <v>105345</v>
      </c>
      <c r="E64" s="316" t="s">
        <v>1008</v>
      </c>
      <c r="F64" s="281">
        <v>52.5</v>
      </c>
      <c r="G64" s="274">
        <v>50</v>
      </c>
      <c r="H64" s="21">
        <v>2.5</v>
      </c>
      <c r="I64" s="248"/>
      <c r="J64" s="18">
        <f t="shared" si="3"/>
        <v>52.5</v>
      </c>
      <c r="K64" s="32"/>
      <c r="L64" s="33">
        <f t="shared" si="4"/>
        <v>0</v>
      </c>
      <c r="M64" s="215"/>
      <c r="N64" s="40"/>
    </row>
    <row r="65" spans="1:14" ht="15.75">
      <c r="A65" s="11">
        <f t="shared" si="2"/>
        <v>60</v>
      </c>
      <c r="B65" s="19" t="s">
        <v>983</v>
      </c>
      <c r="C65" s="19" t="s">
        <v>942</v>
      </c>
      <c r="D65" s="19">
        <v>105182</v>
      </c>
      <c r="E65" s="356" t="s">
        <v>984</v>
      </c>
      <c r="F65" s="14">
        <v>52.5</v>
      </c>
      <c r="G65" s="20">
        <v>50</v>
      </c>
      <c r="H65" s="21">
        <v>2.5</v>
      </c>
      <c r="I65" s="248"/>
      <c r="J65" s="18">
        <f t="shared" si="3"/>
        <v>52.5</v>
      </c>
      <c r="K65" s="32"/>
      <c r="L65" s="33">
        <f t="shared" si="4"/>
        <v>0</v>
      </c>
      <c r="M65" s="215"/>
    </row>
    <row r="66" spans="1:14" ht="15.75">
      <c r="A66" s="11">
        <f t="shared" si="2"/>
        <v>61</v>
      </c>
      <c r="B66" s="116" t="s">
        <v>584</v>
      </c>
      <c r="C66" s="19" t="s">
        <v>942</v>
      </c>
      <c r="D66" s="19">
        <v>101867</v>
      </c>
      <c r="E66" s="356" t="s">
        <v>585</v>
      </c>
      <c r="F66" s="14">
        <v>52.5</v>
      </c>
      <c r="G66" s="74">
        <v>50</v>
      </c>
      <c r="H66" s="21">
        <v>2.5</v>
      </c>
      <c r="I66" s="248"/>
      <c r="J66" s="18">
        <f t="shared" si="3"/>
        <v>52.5</v>
      </c>
      <c r="K66" s="32"/>
      <c r="L66" s="33">
        <f t="shared" si="4"/>
        <v>0</v>
      </c>
      <c r="M66" s="215"/>
      <c r="N66" s="6"/>
    </row>
    <row r="67" spans="1:14" ht="15.75">
      <c r="A67" s="11">
        <f t="shared" si="2"/>
        <v>62</v>
      </c>
      <c r="B67" s="19" t="s">
        <v>586</v>
      </c>
      <c r="C67" s="19" t="s">
        <v>942</v>
      </c>
      <c r="D67" s="19">
        <v>101890</v>
      </c>
      <c r="E67" s="356" t="s">
        <v>587</v>
      </c>
      <c r="F67" s="14">
        <v>52.5</v>
      </c>
      <c r="G67" s="74">
        <v>50</v>
      </c>
      <c r="H67" s="21">
        <v>2.5</v>
      </c>
      <c r="I67" s="248"/>
      <c r="J67" s="18">
        <f t="shared" si="3"/>
        <v>52.5</v>
      </c>
      <c r="K67" s="32"/>
      <c r="L67" s="33">
        <f t="shared" si="4"/>
        <v>0</v>
      </c>
      <c r="M67" s="215"/>
      <c r="N67" s="6"/>
    </row>
    <row r="68" spans="1:14" ht="15.75">
      <c r="A68" s="11">
        <f t="shared" si="2"/>
        <v>63</v>
      </c>
      <c r="B68" s="116" t="s">
        <v>588</v>
      </c>
      <c r="C68" s="19" t="s">
        <v>942</v>
      </c>
      <c r="D68" s="19">
        <v>101912</v>
      </c>
      <c r="E68" s="356" t="s">
        <v>589</v>
      </c>
      <c r="F68" s="14">
        <v>52.5</v>
      </c>
      <c r="G68" s="74">
        <v>50</v>
      </c>
      <c r="H68" s="21">
        <v>2.5</v>
      </c>
      <c r="I68" s="248"/>
      <c r="J68" s="18">
        <f t="shared" si="3"/>
        <v>52.5</v>
      </c>
      <c r="K68" s="32"/>
      <c r="L68" s="33">
        <f t="shared" si="4"/>
        <v>0</v>
      </c>
      <c r="M68" s="37"/>
      <c r="N68" s="6"/>
    </row>
    <row r="69" spans="1:14" ht="15" customHeight="1">
      <c r="A69" s="11">
        <f t="shared" si="2"/>
        <v>64</v>
      </c>
      <c r="B69" s="132" t="s">
        <v>590</v>
      </c>
      <c r="C69" s="19" t="s">
        <v>942</v>
      </c>
      <c r="D69" s="19">
        <v>101909</v>
      </c>
      <c r="E69" s="356" t="s">
        <v>591</v>
      </c>
      <c r="F69" s="14">
        <v>52.5</v>
      </c>
      <c r="G69" s="238">
        <v>50</v>
      </c>
      <c r="H69" s="21">
        <v>2.5</v>
      </c>
      <c r="I69" s="248"/>
      <c r="J69" s="18">
        <f t="shared" si="3"/>
        <v>52.5</v>
      </c>
      <c r="K69" s="32"/>
      <c r="L69" s="33">
        <f t="shared" si="4"/>
        <v>0</v>
      </c>
      <c r="M69" s="215"/>
      <c r="N69" s="6"/>
    </row>
    <row r="70" spans="1:14" ht="15.75">
      <c r="A70" s="11">
        <f t="shared" si="2"/>
        <v>65</v>
      </c>
      <c r="B70" s="116" t="s">
        <v>592</v>
      </c>
      <c r="C70" s="19" t="s">
        <v>942</v>
      </c>
      <c r="D70" s="19">
        <v>101871</v>
      </c>
      <c r="E70" s="356" t="s">
        <v>593</v>
      </c>
      <c r="F70" s="14">
        <v>52.5</v>
      </c>
      <c r="G70" s="74">
        <v>50</v>
      </c>
      <c r="H70" s="54">
        <v>2.5</v>
      </c>
      <c r="I70" s="14"/>
      <c r="J70" s="18">
        <f t="shared" si="0"/>
        <v>52.5</v>
      </c>
      <c r="K70" s="32"/>
      <c r="L70" s="33">
        <f>+(F70-((SUM(J70+K70))))</f>
        <v>0</v>
      </c>
      <c r="M70" s="215"/>
      <c r="N70" s="6"/>
    </row>
    <row r="71" spans="1:14" ht="15.75">
      <c r="A71" s="11">
        <f t="shared" si="2"/>
        <v>66</v>
      </c>
      <c r="B71" s="301" t="s">
        <v>1069</v>
      </c>
      <c r="C71" s="197" t="s">
        <v>942</v>
      </c>
      <c r="D71" s="197">
        <v>105582</v>
      </c>
      <c r="E71" s="355" t="s">
        <v>1080</v>
      </c>
      <c r="F71" s="14">
        <v>52.97</v>
      </c>
      <c r="G71" s="238">
        <v>50</v>
      </c>
      <c r="H71" s="131">
        <v>2.5</v>
      </c>
      <c r="I71" s="14">
        <v>0.47</v>
      </c>
      <c r="J71" s="18">
        <f>SUM(G71+H71+I71)</f>
        <v>52.97</v>
      </c>
      <c r="K71" s="32"/>
      <c r="L71" s="33">
        <f>+(F71-((SUM(J71+K71))))</f>
        <v>0</v>
      </c>
      <c r="M71" s="215"/>
      <c r="N71" s="6" t="s">
        <v>557</v>
      </c>
    </row>
    <row r="72" spans="1:14" ht="15.75">
      <c r="A72" s="11">
        <f t="shared" ref="A72:A135" si="5">1+A71</f>
        <v>67</v>
      </c>
      <c r="B72" s="19" t="s">
        <v>50</v>
      </c>
      <c r="C72" s="19"/>
      <c r="D72" s="19"/>
      <c r="E72" s="356" t="s">
        <v>594</v>
      </c>
      <c r="F72" s="14">
        <v>52.5</v>
      </c>
      <c r="G72" s="53">
        <v>50</v>
      </c>
      <c r="H72" s="54">
        <v>2.5</v>
      </c>
      <c r="I72" s="249"/>
      <c r="J72" s="18">
        <f t="shared" ref="J72:J154" si="6">SUM(G72+H72+I72)</f>
        <v>52.5</v>
      </c>
      <c r="K72" s="32"/>
      <c r="L72" s="33">
        <f t="shared" ref="L72:L108" si="7">+(F72-((SUM(J72+K72))))</f>
        <v>0</v>
      </c>
      <c r="M72" s="215"/>
      <c r="N72" s="6"/>
    </row>
    <row r="73" spans="1:14" ht="15.75">
      <c r="A73" s="11">
        <f t="shared" si="5"/>
        <v>68</v>
      </c>
      <c r="B73" s="19" t="s">
        <v>8</v>
      </c>
      <c r="C73" s="30"/>
      <c r="D73" s="30"/>
      <c r="E73" s="315" t="s">
        <v>10</v>
      </c>
      <c r="F73" s="14">
        <v>52.5</v>
      </c>
      <c r="G73" s="20">
        <v>50</v>
      </c>
      <c r="H73" s="21">
        <v>2.5</v>
      </c>
      <c r="I73" s="14"/>
      <c r="J73" s="18">
        <f t="shared" si="6"/>
        <v>52.5</v>
      </c>
      <c r="K73" s="32"/>
      <c r="L73" s="33">
        <f t="shared" si="7"/>
        <v>0</v>
      </c>
      <c r="M73" s="215"/>
      <c r="N73" s="6"/>
    </row>
    <row r="74" spans="1:14" ht="15.75">
      <c r="A74" s="11">
        <f t="shared" si="5"/>
        <v>69</v>
      </c>
      <c r="B74" s="116" t="s">
        <v>599</v>
      </c>
      <c r="C74" s="19"/>
      <c r="D74" s="19"/>
      <c r="E74" s="356" t="s">
        <v>600</v>
      </c>
      <c r="F74" s="14">
        <v>52.5</v>
      </c>
      <c r="G74" s="74">
        <v>50</v>
      </c>
      <c r="H74" s="54">
        <v>2.5</v>
      </c>
      <c r="I74" s="14"/>
      <c r="J74" s="18">
        <f t="shared" si="6"/>
        <v>52.5</v>
      </c>
      <c r="K74" s="32"/>
      <c r="L74" s="33">
        <f t="shared" si="7"/>
        <v>0</v>
      </c>
      <c r="M74" s="215"/>
      <c r="N74" s="6"/>
    </row>
    <row r="75" spans="1:14" ht="15.75">
      <c r="A75" s="11">
        <f t="shared" si="5"/>
        <v>70</v>
      </c>
      <c r="B75" s="19" t="s">
        <v>601</v>
      </c>
      <c r="C75" s="19"/>
      <c r="D75" s="19"/>
      <c r="E75" s="354" t="s">
        <v>602</v>
      </c>
      <c r="F75" s="14">
        <v>52.5</v>
      </c>
      <c r="G75" s="53">
        <v>50</v>
      </c>
      <c r="H75" s="54">
        <v>2.5</v>
      </c>
      <c r="I75" s="14"/>
      <c r="J75" s="18">
        <f t="shared" si="6"/>
        <v>52.5</v>
      </c>
      <c r="K75" s="32"/>
      <c r="L75" s="33">
        <f t="shared" si="7"/>
        <v>0</v>
      </c>
      <c r="M75" s="215"/>
      <c r="N75" s="6"/>
    </row>
    <row r="76" spans="1:14" ht="15.75">
      <c r="A76" s="11">
        <f t="shared" si="5"/>
        <v>71</v>
      </c>
      <c r="B76" s="116" t="s">
        <v>603</v>
      </c>
      <c r="C76" s="19" t="s">
        <v>942</v>
      </c>
      <c r="D76" s="19">
        <v>101863</v>
      </c>
      <c r="E76" s="356" t="s">
        <v>604</v>
      </c>
      <c r="F76" s="14">
        <v>52.5</v>
      </c>
      <c r="G76" s="74">
        <v>50</v>
      </c>
      <c r="H76" s="54">
        <v>2.5</v>
      </c>
      <c r="I76" s="14"/>
      <c r="J76" s="18">
        <f t="shared" si="6"/>
        <v>52.5</v>
      </c>
      <c r="K76" s="32"/>
      <c r="L76" s="33">
        <f t="shared" si="7"/>
        <v>0</v>
      </c>
      <c r="M76" s="215"/>
      <c r="N76" s="6"/>
    </row>
    <row r="77" spans="1:14" ht="15.75">
      <c r="A77" s="11">
        <f t="shared" si="5"/>
        <v>72</v>
      </c>
      <c r="B77" s="19" t="s">
        <v>66</v>
      </c>
      <c r="C77" s="19" t="s">
        <v>942</v>
      </c>
      <c r="D77" s="19">
        <v>105120</v>
      </c>
      <c r="E77" s="356" t="s">
        <v>605</v>
      </c>
      <c r="F77" s="14">
        <v>105</v>
      </c>
      <c r="G77" s="53">
        <v>100</v>
      </c>
      <c r="H77" s="54">
        <v>5</v>
      </c>
      <c r="I77" s="14"/>
      <c r="J77" s="18">
        <f t="shared" si="6"/>
        <v>105</v>
      </c>
      <c r="K77" s="32"/>
      <c r="L77" s="33">
        <f t="shared" si="7"/>
        <v>0</v>
      </c>
      <c r="M77" s="215"/>
      <c r="N77" s="6"/>
    </row>
    <row r="78" spans="1:14" ht="15.75">
      <c r="A78" s="11">
        <f t="shared" si="5"/>
        <v>73</v>
      </c>
      <c r="B78" s="19" t="s">
        <v>547</v>
      </c>
      <c r="C78" s="19" t="s">
        <v>942</v>
      </c>
      <c r="D78" s="19">
        <v>101567</v>
      </c>
      <c r="E78" s="356" t="s">
        <v>548</v>
      </c>
      <c r="F78" s="14">
        <v>52.5</v>
      </c>
      <c r="G78" s="20">
        <v>50</v>
      </c>
      <c r="H78" s="21">
        <v>2.5</v>
      </c>
      <c r="I78" s="14"/>
      <c r="J78" s="18">
        <f>SUM(G78+H78+I78)</f>
        <v>52.5</v>
      </c>
      <c r="K78" s="32"/>
      <c r="L78" s="33">
        <f>+(F78-((SUM(J78+K78))))</f>
        <v>0</v>
      </c>
      <c r="M78" s="37"/>
    </row>
    <row r="79" spans="1:14" ht="15.75">
      <c r="A79" s="11">
        <f t="shared" si="5"/>
        <v>74</v>
      </c>
      <c r="B79" s="19" t="s">
        <v>549</v>
      </c>
      <c r="C79" s="19" t="s">
        <v>942</v>
      </c>
      <c r="D79" s="19">
        <v>101739</v>
      </c>
      <c r="E79" s="355" t="s">
        <v>550</v>
      </c>
      <c r="F79" s="14">
        <v>105</v>
      </c>
      <c r="G79" s="74">
        <v>100</v>
      </c>
      <c r="H79" s="75">
        <v>5</v>
      </c>
      <c r="I79" s="14"/>
      <c r="J79" s="18">
        <f>SUM(G79+H79+I79)</f>
        <v>105</v>
      </c>
      <c r="K79" s="32"/>
      <c r="L79" s="33">
        <f>+(F79-((SUM(J79+K79))))</f>
        <v>0</v>
      </c>
      <c r="M79" s="215"/>
    </row>
    <row r="80" spans="1:14" ht="15.75">
      <c r="A80" s="11">
        <f t="shared" si="5"/>
        <v>75</v>
      </c>
      <c r="B80" s="19" t="s">
        <v>551</v>
      </c>
      <c r="C80" s="19" t="s">
        <v>942</v>
      </c>
      <c r="D80" s="19">
        <v>101872</v>
      </c>
      <c r="E80" s="355" t="s">
        <v>552</v>
      </c>
      <c r="F80" s="14">
        <v>52.5</v>
      </c>
      <c r="G80" s="74">
        <v>50</v>
      </c>
      <c r="H80" s="75">
        <v>2.5</v>
      </c>
      <c r="I80" s="14"/>
      <c r="J80" s="18">
        <f>SUM(G80+H80+I80)</f>
        <v>52.5</v>
      </c>
      <c r="K80" s="32"/>
      <c r="L80" s="33">
        <f>+(F80-((SUM(J80+K80))))</f>
        <v>0</v>
      </c>
      <c r="M80" s="37"/>
    </row>
    <row r="81" spans="1:14" ht="15.75">
      <c r="A81" s="11">
        <f t="shared" si="5"/>
        <v>76</v>
      </c>
      <c r="B81" s="19" t="s">
        <v>553</v>
      </c>
      <c r="C81" s="19" t="s">
        <v>942</v>
      </c>
      <c r="D81" s="19">
        <v>101780</v>
      </c>
      <c r="E81" s="355" t="s">
        <v>554</v>
      </c>
      <c r="F81" s="14">
        <v>52.5</v>
      </c>
      <c r="G81" s="74">
        <v>50</v>
      </c>
      <c r="H81" s="75">
        <v>2.5</v>
      </c>
      <c r="I81" s="14"/>
      <c r="J81" s="18">
        <f>SUM(G81+H81+I81)</f>
        <v>52.5</v>
      </c>
      <c r="K81" s="32"/>
      <c r="L81" s="33">
        <f>+(F81-((SUM(J81+K81))))</f>
        <v>0</v>
      </c>
      <c r="M81" s="37"/>
    </row>
    <row r="82" spans="1:14" ht="15.75">
      <c r="A82" s="11">
        <f t="shared" si="5"/>
        <v>77</v>
      </c>
      <c r="B82" s="116" t="s">
        <v>555</v>
      </c>
      <c r="C82" s="19" t="s">
        <v>942</v>
      </c>
      <c r="D82" s="19">
        <v>105063</v>
      </c>
      <c r="E82" s="356" t="s">
        <v>556</v>
      </c>
      <c r="F82" s="14">
        <v>52.5</v>
      </c>
      <c r="G82" s="74">
        <v>50</v>
      </c>
      <c r="H82" s="54">
        <v>2.5</v>
      </c>
      <c r="I82" s="14"/>
      <c r="J82" s="18">
        <f>SUM(G82+H82+I82)</f>
        <v>52.5</v>
      </c>
      <c r="K82" s="32"/>
      <c r="L82" s="33">
        <f>+(F82-((SUM(J82+K82))))</f>
        <v>0</v>
      </c>
      <c r="M82" s="215"/>
    </row>
    <row r="83" spans="1:14" ht="15.75">
      <c r="A83" s="11">
        <f t="shared" si="5"/>
        <v>78</v>
      </c>
      <c r="B83" s="19" t="s">
        <v>606</v>
      </c>
      <c r="C83" s="19" t="s">
        <v>942</v>
      </c>
      <c r="D83" s="19">
        <v>11111</v>
      </c>
      <c r="E83" s="356" t="s">
        <v>607</v>
      </c>
      <c r="F83" s="14">
        <v>52.5</v>
      </c>
      <c r="G83" s="20">
        <v>50</v>
      </c>
      <c r="H83" s="21">
        <v>2.5</v>
      </c>
      <c r="I83" s="14"/>
      <c r="J83" s="18">
        <f t="shared" si="6"/>
        <v>52.5</v>
      </c>
      <c r="K83" s="32"/>
      <c r="L83" s="33">
        <f t="shared" si="7"/>
        <v>0</v>
      </c>
      <c r="M83" s="215"/>
      <c r="N83" s="6"/>
    </row>
    <row r="84" spans="1:14" ht="15.75">
      <c r="A84" s="11">
        <f t="shared" si="5"/>
        <v>79</v>
      </c>
      <c r="B84" s="19" t="s">
        <v>608</v>
      </c>
      <c r="C84" s="19" t="s">
        <v>942</v>
      </c>
      <c r="D84" s="19">
        <v>101012</v>
      </c>
      <c r="E84" s="356" t="s">
        <v>167</v>
      </c>
      <c r="F84" s="14">
        <v>52.5</v>
      </c>
      <c r="G84" s="20">
        <v>50</v>
      </c>
      <c r="H84" s="21">
        <v>2.5</v>
      </c>
      <c r="I84" s="14"/>
      <c r="J84" s="18">
        <f t="shared" si="6"/>
        <v>52.5</v>
      </c>
      <c r="K84" s="32"/>
      <c r="L84" s="33">
        <f t="shared" si="7"/>
        <v>0</v>
      </c>
      <c r="M84" s="215"/>
      <c r="N84" s="6"/>
    </row>
    <row r="85" spans="1:14" ht="15.75">
      <c r="A85" s="11">
        <f t="shared" si="5"/>
        <v>80</v>
      </c>
      <c r="B85" s="19" t="s">
        <v>609</v>
      </c>
      <c r="C85" s="19" t="s">
        <v>942</v>
      </c>
      <c r="D85" s="19">
        <v>105349</v>
      </c>
      <c r="E85" s="356" t="s">
        <v>955</v>
      </c>
      <c r="F85" s="14">
        <v>52.5</v>
      </c>
      <c r="G85" s="74">
        <v>50</v>
      </c>
      <c r="H85" s="75">
        <v>2.5</v>
      </c>
      <c r="I85" s="14"/>
      <c r="J85" s="18">
        <f t="shared" si="6"/>
        <v>52.5</v>
      </c>
      <c r="K85" s="32"/>
      <c r="L85" s="33">
        <f t="shared" si="7"/>
        <v>0</v>
      </c>
      <c r="M85" s="215"/>
      <c r="N85" s="6"/>
    </row>
    <row r="86" spans="1:14" ht="15.75">
      <c r="A86" s="11">
        <f t="shared" si="5"/>
        <v>81</v>
      </c>
      <c r="B86" s="19" t="s">
        <v>410</v>
      </c>
      <c r="C86" s="19" t="s">
        <v>942</v>
      </c>
      <c r="D86" s="19">
        <v>105525</v>
      </c>
      <c r="E86" s="355" t="s">
        <v>1038</v>
      </c>
      <c r="F86" s="14">
        <v>52.5</v>
      </c>
      <c r="G86" s="20">
        <v>50</v>
      </c>
      <c r="H86" s="75">
        <v>2.5</v>
      </c>
      <c r="I86" s="14"/>
      <c r="J86" s="18">
        <f t="shared" si="6"/>
        <v>52.5</v>
      </c>
      <c r="K86" s="32"/>
      <c r="L86" s="33">
        <f t="shared" si="7"/>
        <v>0</v>
      </c>
      <c r="M86" s="215"/>
      <c r="N86" s="6"/>
    </row>
    <row r="87" spans="1:14" ht="15.75">
      <c r="A87" s="11">
        <f t="shared" si="5"/>
        <v>82</v>
      </c>
      <c r="B87" s="116" t="s">
        <v>613</v>
      </c>
      <c r="C87" s="19" t="s">
        <v>942</v>
      </c>
      <c r="D87" s="19">
        <v>105340</v>
      </c>
      <c r="E87" s="356" t="s">
        <v>957</v>
      </c>
      <c r="F87" s="14">
        <v>52.5</v>
      </c>
      <c r="G87" s="53">
        <v>50</v>
      </c>
      <c r="H87" s="54">
        <v>2.5</v>
      </c>
      <c r="I87" s="14"/>
      <c r="J87" s="18">
        <f t="shared" si="6"/>
        <v>52.5</v>
      </c>
      <c r="K87" s="32"/>
      <c r="L87" s="33">
        <f t="shared" si="7"/>
        <v>0</v>
      </c>
      <c r="M87" s="37"/>
      <c r="N87" s="6"/>
    </row>
    <row r="88" spans="1:14" ht="15.75">
      <c r="A88" s="11">
        <f t="shared" si="5"/>
        <v>83</v>
      </c>
      <c r="B88" s="19" t="s">
        <v>615</v>
      </c>
      <c r="C88" s="19" t="s">
        <v>942</v>
      </c>
      <c r="D88" s="19">
        <v>101820</v>
      </c>
      <c r="E88" s="356" t="s">
        <v>616</v>
      </c>
      <c r="F88" s="14">
        <v>52.5</v>
      </c>
      <c r="G88" s="74">
        <v>50</v>
      </c>
      <c r="H88" s="54">
        <v>2.5</v>
      </c>
      <c r="I88" s="14"/>
      <c r="J88" s="18">
        <f t="shared" si="6"/>
        <v>52.5</v>
      </c>
      <c r="K88" s="32"/>
      <c r="L88" s="33">
        <f t="shared" si="7"/>
        <v>0</v>
      </c>
      <c r="M88" s="215"/>
      <c r="N88" s="6"/>
    </row>
    <row r="89" spans="1:14" ht="15.75">
      <c r="A89" s="11">
        <f t="shared" si="5"/>
        <v>84</v>
      </c>
      <c r="B89" s="19" t="s">
        <v>617</v>
      </c>
      <c r="C89" s="19" t="s">
        <v>942</v>
      </c>
      <c r="D89" s="19">
        <v>101504</v>
      </c>
      <c r="E89" s="356" t="s">
        <v>618</v>
      </c>
      <c r="F89" s="14">
        <v>105</v>
      </c>
      <c r="G89" s="74">
        <v>100</v>
      </c>
      <c r="H89" s="75">
        <v>5</v>
      </c>
      <c r="I89" s="14"/>
      <c r="J89" s="18">
        <f t="shared" si="6"/>
        <v>105</v>
      </c>
      <c r="K89" s="32"/>
      <c r="L89" s="33">
        <f>+(F89-((SUM(J89+K89))))</f>
        <v>0</v>
      </c>
      <c r="M89" s="215"/>
      <c r="N89" s="6"/>
    </row>
    <row r="90" spans="1:14" ht="15.75">
      <c r="A90" s="11">
        <f t="shared" si="5"/>
        <v>85</v>
      </c>
      <c r="B90" s="19" t="s">
        <v>619</v>
      </c>
      <c r="C90" s="19" t="s">
        <v>942</v>
      </c>
      <c r="D90" s="19">
        <v>101418</v>
      </c>
      <c r="E90" s="356" t="s">
        <v>620</v>
      </c>
      <c r="F90" s="14">
        <v>175.79</v>
      </c>
      <c r="G90" s="74">
        <v>100</v>
      </c>
      <c r="H90" s="75">
        <v>5</v>
      </c>
      <c r="I90" s="14">
        <v>70.790000000000006</v>
      </c>
      <c r="J90" s="18">
        <f t="shared" si="6"/>
        <v>175.79000000000002</v>
      </c>
      <c r="K90" s="32"/>
      <c r="L90" s="33">
        <f t="shared" si="7"/>
        <v>-2.8421709430404007E-14</v>
      </c>
      <c r="M90" s="215" t="s">
        <v>1076</v>
      </c>
      <c r="N90" s="6"/>
    </row>
    <row r="91" spans="1:14" ht="15.75">
      <c r="A91" s="11">
        <f t="shared" si="5"/>
        <v>86</v>
      </c>
      <c r="B91" s="19" t="s">
        <v>414</v>
      </c>
      <c r="C91" s="19" t="s">
        <v>942</v>
      </c>
      <c r="D91" s="19">
        <v>101701</v>
      </c>
      <c r="E91" s="377" t="s">
        <v>621</v>
      </c>
      <c r="F91" s="14">
        <v>52.5</v>
      </c>
      <c r="G91" s="74">
        <v>50</v>
      </c>
      <c r="H91" s="75">
        <v>2.5</v>
      </c>
      <c r="I91" s="248"/>
      <c r="J91" s="18">
        <f t="shared" si="6"/>
        <v>52.5</v>
      </c>
      <c r="K91" s="32"/>
      <c r="L91" s="33">
        <f t="shared" si="7"/>
        <v>0</v>
      </c>
      <c r="M91" s="215"/>
      <c r="N91" s="6"/>
    </row>
    <row r="92" spans="1:14" ht="15.75">
      <c r="A92" s="11">
        <f t="shared" si="5"/>
        <v>87</v>
      </c>
      <c r="B92" s="387" t="s">
        <v>1025</v>
      </c>
      <c r="C92" s="19" t="s">
        <v>942</v>
      </c>
      <c r="D92" s="385">
        <v>101681</v>
      </c>
      <c r="E92" s="374" t="s">
        <v>1026</v>
      </c>
      <c r="F92" s="14">
        <v>52.5</v>
      </c>
      <c r="G92" s="74">
        <v>50</v>
      </c>
      <c r="H92" s="75">
        <v>2.5</v>
      </c>
      <c r="I92" s="249"/>
      <c r="J92" s="18">
        <f t="shared" si="6"/>
        <v>52.5</v>
      </c>
      <c r="K92" s="35"/>
      <c r="L92" s="33">
        <f t="shared" si="7"/>
        <v>0</v>
      </c>
      <c r="M92" s="215"/>
      <c r="N92" s="195"/>
    </row>
    <row r="93" spans="1:14" ht="16.5" customHeight="1">
      <c r="A93" s="11">
        <f t="shared" si="5"/>
        <v>88</v>
      </c>
      <c r="B93" s="387" t="s">
        <v>1025</v>
      </c>
      <c r="C93" s="19" t="s">
        <v>942</v>
      </c>
      <c r="D93" s="385">
        <v>101681</v>
      </c>
      <c r="E93" s="374" t="s">
        <v>1081</v>
      </c>
      <c r="F93" s="14">
        <v>150.5</v>
      </c>
      <c r="G93" s="74">
        <v>143.33000000000001</v>
      </c>
      <c r="H93" s="376">
        <v>7.17</v>
      </c>
      <c r="I93" s="249"/>
      <c r="J93" s="18">
        <f t="shared" si="6"/>
        <v>150.5</v>
      </c>
      <c r="K93" s="35"/>
      <c r="L93" s="33">
        <f t="shared" si="7"/>
        <v>0</v>
      </c>
      <c r="M93" s="215" t="s">
        <v>1079</v>
      </c>
      <c r="N93" s="40"/>
    </row>
    <row r="94" spans="1:14" ht="15.75">
      <c r="A94" s="11">
        <f t="shared" si="5"/>
        <v>89</v>
      </c>
      <c r="B94" s="19" t="s">
        <v>622</v>
      </c>
      <c r="C94" s="19" t="s">
        <v>942</v>
      </c>
      <c r="D94" s="19">
        <v>101708</v>
      </c>
      <c r="E94" s="377" t="s">
        <v>623</v>
      </c>
      <c r="F94" s="14">
        <v>52.5</v>
      </c>
      <c r="G94" s="74">
        <v>50</v>
      </c>
      <c r="H94" s="75">
        <v>2.5</v>
      </c>
      <c r="I94" s="14"/>
      <c r="J94" s="18">
        <f t="shared" si="6"/>
        <v>52.5</v>
      </c>
      <c r="K94" s="32"/>
      <c r="L94" s="33">
        <f t="shared" si="7"/>
        <v>0</v>
      </c>
      <c r="M94" s="37"/>
      <c r="N94" s="6"/>
    </row>
    <row r="95" spans="1:14" ht="15.75">
      <c r="A95" s="11">
        <f t="shared" si="5"/>
        <v>90</v>
      </c>
      <c r="B95" s="19" t="s">
        <v>908</v>
      </c>
      <c r="C95" s="19" t="s">
        <v>942</v>
      </c>
      <c r="D95" s="19">
        <v>101888</v>
      </c>
      <c r="E95" s="377" t="s">
        <v>958</v>
      </c>
      <c r="F95" s="14">
        <v>140</v>
      </c>
      <c r="G95" s="74">
        <v>50</v>
      </c>
      <c r="H95" s="54">
        <v>2.5</v>
      </c>
      <c r="I95" s="14">
        <v>87.5</v>
      </c>
      <c r="J95" s="18">
        <f t="shared" si="6"/>
        <v>140</v>
      </c>
      <c r="K95" s="32"/>
      <c r="L95" s="33">
        <f t="shared" si="7"/>
        <v>0</v>
      </c>
      <c r="M95" s="218"/>
      <c r="N95" s="6"/>
    </row>
    <row r="96" spans="1:14" ht="15.75">
      <c r="A96" s="11">
        <f t="shared" si="5"/>
        <v>91</v>
      </c>
      <c r="B96" s="19" t="s">
        <v>959</v>
      </c>
      <c r="C96" s="19" t="s">
        <v>942</v>
      </c>
      <c r="D96" s="19">
        <v>101804</v>
      </c>
      <c r="E96" s="377" t="s">
        <v>625</v>
      </c>
      <c r="F96" s="14">
        <v>105</v>
      </c>
      <c r="G96" s="20">
        <v>100</v>
      </c>
      <c r="H96" s="21">
        <v>5</v>
      </c>
      <c r="I96" s="14"/>
      <c r="J96" s="18">
        <f t="shared" si="6"/>
        <v>105</v>
      </c>
      <c r="K96" s="32"/>
      <c r="L96" s="33">
        <f t="shared" si="7"/>
        <v>0</v>
      </c>
      <c r="M96" s="218"/>
      <c r="N96" s="6"/>
    </row>
    <row r="97" spans="1:14" ht="15.75">
      <c r="A97" s="11">
        <f t="shared" si="5"/>
        <v>92</v>
      </c>
      <c r="B97" s="19" t="s">
        <v>626</v>
      </c>
      <c r="C97" s="19" t="s">
        <v>942</v>
      </c>
      <c r="D97" s="19">
        <v>101379</v>
      </c>
      <c r="E97" s="377" t="s">
        <v>144</v>
      </c>
      <c r="F97" s="14">
        <v>52.5</v>
      </c>
      <c r="G97" s="20">
        <v>50</v>
      </c>
      <c r="H97" s="75">
        <v>2.5</v>
      </c>
      <c r="I97" s="14"/>
      <c r="J97" s="18">
        <f t="shared" si="6"/>
        <v>52.5</v>
      </c>
      <c r="K97" s="32"/>
      <c r="L97" s="33">
        <f t="shared" si="7"/>
        <v>0</v>
      </c>
      <c r="M97" s="215"/>
      <c r="N97" s="6"/>
    </row>
    <row r="98" spans="1:14" ht="15.75">
      <c r="A98" s="11">
        <f t="shared" si="5"/>
        <v>93</v>
      </c>
      <c r="B98" s="30" t="s">
        <v>572</v>
      </c>
      <c r="C98" s="30"/>
      <c r="D98" s="30">
        <v>105122</v>
      </c>
      <c r="E98" s="378" t="s">
        <v>953</v>
      </c>
      <c r="F98" s="14">
        <v>52.5</v>
      </c>
      <c r="G98" s="74">
        <v>50</v>
      </c>
      <c r="H98" s="75">
        <v>2.5</v>
      </c>
      <c r="I98" s="249"/>
      <c r="J98" s="18">
        <f>SUM(G98+H98+I98)</f>
        <v>52.5</v>
      </c>
      <c r="K98" s="35"/>
      <c r="L98" s="33">
        <f t="shared" si="7"/>
        <v>0</v>
      </c>
      <c r="M98" s="215"/>
      <c r="N98" s="40"/>
    </row>
    <row r="99" spans="1:14" ht="15.75">
      <c r="A99" s="11">
        <f t="shared" si="5"/>
        <v>94</v>
      </c>
      <c r="B99" s="116" t="s">
        <v>627</v>
      </c>
      <c r="C99" s="19"/>
      <c r="D99" s="19"/>
      <c r="E99" s="379" t="s">
        <v>628</v>
      </c>
      <c r="F99" s="14">
        <v>52.5</v>
      </c>
      <c r="G99" s="74">
        <v>50</v>
      </c>
      <c r="H99" s="54">
        <v>2.5</v>
      </c>
      <c r="I99" s="14"/>
      <c r="J99" s="18">
        <f t="shared" si="6"/>
        <v>52.5</v>
      </c>
      <c r="K99" s="32"/>
      <c r="L99" s="33">
        <f>+(F99-((SUM(J99+K99))))</f>
        <v>0</v>
      </c>
      <c r="M99" s="215"/>
      <c r="N99" s="59" t="s">
        <v>525</v>
      </c>
    </row>
    <row r="100" spans="1:14" ht="15.75">
      <c r="A100" s="11">
        <f t="shared" si="5"/>
        <v>95</v>
      </c>
      <c r="B100" s="19" t="s">
        <v>629</v>
      </c>
      <c r="C100" s="19"/>
      <c r="D100" s="19"/>
      <c r="E100" s="379" t="s">
        <v>630</v>
      </c>
      <c r="F100" s="14">
        <v>52.5</v>
      </c>
      <c r="G100" s="74">
        <v>50</v>
      </c>
      <c r="H100" s="75">
        <v>2.5</v>
      </c>
      <c r="I100" s="14"/>
      <c r="J100" s="18">
        <f t="shared" si="6"/>
        <v>52.5</v>
      </c>
      <c r="K100" s="32"/>
      <c r="L100" s="33">
        <f t="shared" si="7"/>
        <v>0</v>
      </c>
      <c r="M100" s="215"/>
      <c r="N100" s="60" t="s">
        <v>79</v>
      </c>
    </row>
    <row r="101" spans="1:14" ht="15.75">
      <c r="A101" s="11">
        <f t="shared" si="5"/>
        <v>96</v>
      </c>
      <c r="B101" s="30" t="s">
        <v>633</v>
      </c>
      <c r="C101" s="19" t="s">
        <v>942</v>
      </c>
      <c r="D101" s="19">
        <v>101410</v>
      </c>
      <c r="E101" s="359" t="s">
        <v>634</v>
      </c>
      <c r="F101" s="14">
        <v>105</v>
      </c>
      <c r="G101" s="74">
        <v>100</v>
      </c>
      <c r="H101" s="75">
        <v>5</v>
      </c>
      <c r="I101" s="14"/>
      <c r="J101" s="18">
        <f t="shared" si="6"/>
        <v>105</v>
      </c>
      <c r="K101" s="35"/>
      <c r="L101" s="36">
        <f>+(F101-((SUM(J101+K101))))</f>
        <v>0</v>
      </c>
      <c r="M101" s="215"/>
      <c r="N101" s="40"/>
    </row>
    <row r="102" spans="1:14" ht="15.75">
      <c r="A102" s="11">
        <f t="shared" si="5"/>
        <v>97</v>
      </c>
      <c r="B102" s="19" t="s">
        <v>635</v>
      </c>
      <c r="C102" s="19" t="s">
        <v>942</v>
      </c>
      <c r="D102" s="19">
        <v>101458</v>
      </c>
      <c r="E102" s="356" t="s">
        <v>960</v>
      </c>
      <c r="F102" s="14">
        <v>52.5</v>
      </c>
      <c r="G102" s="74">
        <v>50</v>
      </c>
      <c r="H102" s="75">
        <v>2.5</v>
      </c>
      <c r="I102" s="14"/>
      <c r="J102" s="18">
        <f t="shared" si="6"/>
        <v>52.5</v>
      </c>
      <c r="K102" s="32"/>
      <c r="L102" s="33">
        <f t="shared" si="7"/>
        <v>0</v>
      </c>
      <c r="M102" s="215"/>
      <c r="N102" s="40"/>
    </row>
    <row r="103" spans="1:14" ht="15.75">
      <c r="A103" s="11">
        <f t="shared" si="5"/>
        <v>98</v>
      </c>
      <c r="B103" s="19" t="s">
        <v>637</v>
      </c>
      <c r="C103" s="19" t="s">
        <v>942</v>
      </c>
      <c r="D103" s="19">
        <v>101018</v>
      </c>
      <c r="E103" s="356" t="s">
        <v>961</v>
      </c>
      <c r="F103" s="14">
        <v>52.5</v>
      </c>
      <c r="G103" s="74">
        <v>50</v>
      </c>
      <c r="H103" s="54">
        <v>2.5</v>
      </c>
      <c r="I103" s="14"/>
      <c r="J103" s="18">
        <f t="shared" si="6"/>
        <v>52.5</v>
      </c>
      <c r="K103" s="32"/>
      <c r="L103" s="33">
        <f t="shared" si="7"/>
        <v>0</v>
      </c>
      <c r="M103" s="215"/>
      <c r="N103" s="40"/>
    </row>
    <row r="104" spans="1:14" ht="15.75">
      <c r="A104" s="11">
        <f t="shared" si="5"/>
        <v>99</v>
      </c>
      <c r="B104" s="19" t="s">
        <v>639</v>
      </c>
      <c r="C104" s="19" t="s">
        <v>942</v>
      </c>
      <c r="D104" s="19">
        <v>101800</v>
      </c>
      <c r="E104" s="356" t="s">
        <v>640</v>
      </c>
      <c r="F104" s="14">
        <v>78.75</v>
      </c>
      <c r="G104" s="20">
        <v>50</v>
      </c>
      <c r="H104" s="21">
        <v>2.5</v>
      </c>
      <c r="I104" s="14"/>
      <c r="J104" s="18">
        <f t="shared" si="6"/>
        <v>52.5</v>
      </c>
      <c r="K104" s="32">
        <v>26.25</v>
      </c>
      <c r="L104" s="33">
        <f>+(F104-((SUM(J104+K104))))</f>
        <v>0</v>
      </c>
      <c r="M104" s="215" t="s">
        <v>1082</v>
      </c>
      <c r="N104" s="40"/>
    </row>
    <row r="105" spans="1:14" ht="15.75">
      <c r="A105" s="11">
        <f t="shared" si="5"/>
        <v>100</v>
      </c>
      <c r="B105" s="19" t="s">
        <v>641</v>
      </c>
      <c r="C105" s="19" t="s">
        <v>942</v>
      </c>
      <c r="D105" s="19">
        <v>101606</v>
      </c>
      <c r="E105" s="355" t="s">
        <v>642</v>
      </c>
      <c r="F105" s="14">
        <v>52.5</v>
      </c>
      <c r="G105" s="74">
        <v>50</v>
      </c>
      <c r="H105" s="21">
        <v>2.5</v>
      </c>
      <c r="I105" s="14"/>
      <c r="J105" s="18">
        <f t="shared" si="6"/>
        <v>52.5</v>
      </c>
      <c r="K105" s="32"/>
      <c r="L105" s="33">
        <f>+(F105-((SUM(J105+K105))))</f>
        <v>0</v>
      </c>
      <c r="M105" s="215"/>
      <c r="N105" s="195"/>
    </row>
    <row r="106" spans="1:14" ht="15.75">
      <c r="A106" s="11">
        <f t="shared" si="5"/>
        <v>101</v>
      </c>
      <c r="B106" s="19" t="s">
        <v>643</v>
      </c>
      <c r="C106" s="19" t="s">
        <v>942</v>
      </c>
      <c r="D106" s="19">
        <v>101663</v>
      </c>
      <c r="E106" s="355" t="s">
        <v>644</v>
      </c>
      <c r="F106" s="14">
        <v>52.5</v>
      </c>
      <c r="G106" s="74">
        <v>50</v>
      </c>
      <c r="H106" s="75">
        <v>2.5</v>
      </c>
      <c r="I106" s="14"/>
      <c r="J106" s="18">
        <f t="shared" si="6"/>
        <v>52.5</v>
      </c>
      <c r="K106" s="32"/>
      <c r="L106" s="33">
        <f t="shared" si="7"/>
        <v>0</v>
      </c>
      <c r="M106" s="37"/>
      <c r="N106" s="194"/>
    </row>
    <row r="107" spans="1:14" ht="15.75">
      <c r="A107" s="11">
        <f t="shared" si="5"/>
        <v>102</v>
      </c>
      <c r="B107" s="19" t="s">
        <v>645</v>
      </c>
      <c r="C107" s="19" t="s">
        <v>942</v>
      </c>
      <c r="D107" s="19">
        <v>101716</v>
      </c>
      <c r="E107" s="356" t="s">
        <v>646</v>
      </c>
      <c r="F107" s="14">
        <v>105</v>
      </c>
      <c r="G107" s="74">
        <v>100</v>
      </c>
      <c r="H107" s="75">
        <v>5</v>
      </c>
      <c r="I107" s="14"/>
      <c r="J107" s="18">
        <f t="shared" si="6"/>
        <v>105</v>
      </c>
      <c r="K107" s="32"/>
      <c r="L107" s="36">
        <f t="shared" si="7"/>
        <v>0</v>
      </c>
      <c r="M107" s="37"/>
      <c r="N107" s="6" t="s">
        <v>539</v>
      </c>
    </row>
    <row r="108" spans="1:14" ht="15.75">
      <c r="A108" s="11">
        <f t="shared" si="5"/>
        <v>103</v>
      </c>
      <c r="B108" s="19" t="s">
        <v>647</v>
      </c>
      <c r="C108" s="19" t="s">
        <v>942</v>
      </c>
      <c r="D108" s="19">
        <v>101815</v>
      </c>
      <c r="E108" s="355" t="s">
        <v>648</v>
      </c>
      <c r="F108" s="14">
        <v>52.5</v>
      </c>
      <c r="G108" s="20">
        <v>50</v>
      </c>
      <c r="H108" s="21">
        <v>2.5</v>
      </c>
      <c r="I108" s="14"/>
      <c r="J108" s="18">
        <f t="shared" si="6"/>
        <v>52.5</v>
      </c>
      <c r="K108" s="32"/>
      <c r="L108" s="33">
        <f t="shared" si="7"/>
        <v>0</v>
      </c>
      <c r="M108" s="215"/>
      <c r="N108" s="6" t="s">
        <v>542</v>
      </c>
    </row>
    <row r="109" spans="1:14" ht="15.75">
      <c r="A109" s="11">
        <f t="shared" si="5"/>
        <v>104</v>
      </c>
      <c r="B109" s="19" t="s">
        <v>0</v>
      </c>
      <c r="C109" s="19" t="s">
        <v>942</v>
      </c>
      <c r="D109" s="19">
        <v>101623</v>
      </c>
      <c r="E109" s="356" t="s">
        <v>962</v>
      </c>
      <c r="F109" s="14">
        <v>52.5</v>
      </c>
      <c r="G109" s="74">
        <v>50</v>
      </c>
      <c r="H109" s="75">
        <v>2.5</v>
      </c>
      <c r="I109" s="14"/>
      <c r="J109" s="18">
        <f>SUM(G109+H109+I109)</f>
        <v>52.5</v>
      </c>
      <c r="K109" s="32"/>
      <c r="L109" s="36">
        <f>+(F109-((SUM(J109+K109))))</f>
        <v>0</v>
      </c>
      <c r="M109" s="215"/>
      <c r="N109" s="40"/>
    </row>
    <row r="110" spans="1:14" ht="15.75">
      <c r="A110" s="11">
        <f t="shared" si="5"/>
        <v>105</v>
      </c>
      <c r="B110" s="19" t="s">
        <v>419</v>
      </c>
      <c r="C110" s="19" t="s">
        <v>942</v>
      </c>
      <c r="D110" s="19">
        <v>105230</v>
      </c>
      <c r="E110" s="355" t="s">
        <v>963</v>
      </c>
      <c r="F110" s="14">
        <v>105</v>
      </c>
      <c r="G110" s="74">
        <v>100</v>
      </c>
      <c r="H110" s="75">
        <v>5</v>
      </c>
      <c r="I110" s="14"/>
      <c r="J110" s="18">
        <f>SUM(G110+H110+I110)</f>
        <v>105</v>
      </c>
      <c r="K110" s="32"/>
      <c r="L110" s="33">
        <f>+(F110-((SUM(J110+K110))))</f>
        <v>0</v>
      </c>
      <c r="M110" s="37"/>
      <c r="N110" s="40"/>
    </row>
    <row r="111" spans="1:14" ht="15.75">
      <c r="A111" s="11">
        <f t="shared" si="5"/>
        <v>106</v>
      </c>
      <c r="B111" s="19" t="s">
        <v>649</v>
      </c>
      <c r="C111" s="19" t="s">
        <v>942</v>
      </c>
      <c r="D111" s="19">
        <v>101803</v>
      </c>
      <c r="E111" s="356" t="s">
        <v>650</v>
      </c>
      <c r="F111" s="14">
        <v>52.5</v>
      </c>
      <c r="G111" s="74">
        <v>50</v>
      </c>
      <c r="H111" s="54">
        <v>2.5</v>
      </c>
      <c r="I111" s="14"/>
      <c r="J111" s="18">
        <f t="shared" si="6"/>
        <v>52.5</v>
      </c>
      <c r="K111" s="32"/>
      <c r="L111" s="33">
        <f t="shared" ref="L111:L204" si="8">+(F111-((SUM(J111+K111))))</f>
        <v>0</v>
      </c>
      <c r="M111" s="37"/>
      <c r="N111" s="40"/>
    </row>
    <row r="112" spans="1:14" ht="15.75">
      <c r="A112" s="11">
        <f t="shared" si="5"/>
        <v>107</v>
      </c>
      <c r="B112" s="19" t="s">
        <v>651</v>
      </c>
      <c r="C112" s="212" t="s">
        <v>942</v>
      </c>
      <c r="D112" s="19">
        <v>101793</v>
      </c>
      <c r="E112" s="355" t="s">
        <v>652</v>
      </c>
      <c r="F112" s="14">
        <v>52.5</v>
      </c>
      <c r="G112" s="74">
        <v>50</v>
      </c>
      <c r="H112" s="75">
        <v>2.5</v>
      </c>
      <c r="I112" s="14"/>
      <c r="J112" s="18">
        <f t="shared" si="6"/>
        <v>52.5</v>
      </c>
      <c r="K112" s="32"/>
      <c r="L112" s="33">
        <f t="shared" si="8"/>
        <v>0</v>
      </c>
      <c r="M112" s="215"/>
      <c r="N112" s="195"/>
    </row>
    <row r="113" spans="1:14" ht="15.75">
      <c r="A113" s="11">
        <f t="shared" si="5"/>
        <v>108</v>
      </c>
      <c r="B113" s="224" t="s">
        <v>653</v>
      </c>
      <c r="C113" s="19" t="s">
        <v>942</v>
      </c>
      <c r="D113" s="19">
        <v>101728</v>
      </c>
      <c r="E113" s="355" t="s">
        <v>654</v>
      </c>
      <c r="F113" s="14">
        <v>52.5</v>
      </c>
      <c r="G113" s="20">
        <v>50</v>
      </c>
      <c r="H113" s="21">
        <v>2.5</v>
      </c>
      <c r="I113" s="14"/>
      <c r="J113" s="18">
        <f t="shared" si="6"/>
        <v>52.5</v>
      </c>
      <c r="K113" s="32"/>
      <c r="L113" s="33">
        <f t="shared" si="8"/>
        <v>0</v>
      </c>
      <c r="M113" s="215"/>
      <c r="N113" s="194"/>
    </row>
    <row r="114" spans="1:14" ht="15.75">
      <c r="A114" s="11">
        <f t="shared" si="5"/>
        <v>109</v>
      </c>
      <c r="B114" s="19" t="s">
        <v>655</v>
      </c>
      <c r="C114" s="19" t="s">
        <v>942</v>
      </c>
      <c r="D114" s="19">
        <v>101055</v>
      </c>
      <c r="E114" s="356" t="s">
        <v>656</v>
      </c>
      <c r="F114" s="14">
        <v>52.5</v>
      </c>
      <c r="G114" s="53">
        <v>50</v>
      </c>
      <c r="H114" s="54">
        <v>2.5</v>
      </c>
      <c r="I114" s="14"/>
      <c r="J114" s="18">
        <f t="shared" si="6"/>
        <v>52.5</v>
      </c>
      <c r="K114" s="32"/>
      <c r="L114" s="33">
        <f t="shared" si="8"/>
        <v>0</v>
      </c>
      <c r="M114" s="215"/>
      <c r="N114" s="6" t="s">
        <v>557</v>
      </c>
    </row>
    <row r="115" spans="1:14" ht="15.75">
      <c r="A115" s="11">
        <f t="shared" si="5"/>
        <v>110</v>
      </c>
      <c r="B115" s="19" t="s">
        <v>902</v>
      </c>
      <c r="C115" s="19" t="s">
        <v>942</v>
      </c>
      <c r="D115" s="19">
        <v>101491</v>
      </c>
      <c r="E115" s="356" t="s">
        <v>903</v>
      </c>
      <c r="F115" s="14">
        <v>52.5</v>
      </c>
      <c r="G115" s="74">
        <v>50</v>
      </c>
      <c r="H115" s="54">
        <v>2.5</v>
      </c>
      <c r="I115" s="14"/>
      <c r="J115" s="18">
        <f>SUM(G115+H115+I115)</f>
        <v>52.5</v>
      </c>
      <c r="K115" s="32"/>
      <c r="L115" s="33">
        <f>+(F115-((SUM(J115+K115))))</f>
        <v>0</v>
      </c>
      <c r="M115" s="215"/>
      <c r="N115" s="6" t="s">
        <v>559</v>
      </c>
    </row>
    <row r="116" spans="1:14" ht="15.75">
      <c r="A116" s="11">
        <f t="shared" si="5"/>
        <v>111</v>
      </c>
      <c r="B116" s="19" t="s">
        <v>850</v>
      </c>
      <c r="C116" s="19" t="s">
        <v>942</v>
      </c>
      <c r="D116" s="19">
        <v>101730</v>
      </c>
      <c r="E116" s="355" t="s">
        <v>851</v>
      </c>
      <c r="F116" s="14">
        <v>52.5</v>
      </c>
      <c r="G116" s="20">
        <v>50</v>
      </c>
      <c r="H116" s="21">
        <v>2.5</v>
      </c>
      <c r="I116" s="62"/>
      <c r="J116" s="18">
        <f>SUM(G116+H116+I116)</f>
        <v>52.5</v>
      </c>
      <c r="K116" s="32"/>
      <c r="L116" s="33">
        <f>+(F116-((SUM(J116+K116))))</f>
        <v>0</v>
      </c>
      <c r="M116" s="37"/>
      <c r="N116" s="6"/>
    </row>
    <row r="117" spans="1:14" ht="15.75">
      <c r="A117" s="11">
        <f t="shared" si="5"/>
        <v>112</v>
      </c>
      <c r="B117" s="30" t="s">
        <v>1023</v>
      </c>
      <c r="C117" s="19" t="s">
        <v>942</v>
      </c>
      <c r="D117" s="386">
        <v>101846</v>
      </c>
      <c r="E117" s="378" t="s">
        <v>1083</v>
      </c>
      <c r="F117" s="14">
        <v>52.5</v>
      </c>
      <c r="G117" s="74">
        <v>50</v>
      </c>
      <c r="H117" s="75">
        <v>2.5</v>
      </c>
      <c r="I117" s="249"/>
      <c r="J117" s="18">
        <f>SUM(G117+H117+I117)</f>
        <v>52.5</v>
      </c>
      <c r="K117" s="35"/>
      <c r="L117" s="36">
        <f>+(F117-((SUM(J117+K117))))</f>
        <v>0</v>
      </c>
      <c r="M117" s="215"/>
      <c r="N117" s="40"/>
    </row>
    <row r="118" spans="1:14" ht="15.75">
      <c r="A118" s="11">
        <f>1+A117</f>
        <v>113</v>
      </c>
      <c r="B118" s="30" t="s">
        <v>1023</v>
      </c>
      <c r="C118" s="19" t="s">
        <v>942</v>
      </c>
      <c r="D118" s="386">
        <v>101846</v>
      </c>
      <c r="E118" s="378" t="s">
        <v>1084</v>
      </c>
      <c r="F118" s="14">
        <v>156.79</v>
      </c>
      <c r="G118" s="274">
        <v>143.33000000000001</v>
      </c>
      <c r="H118" s="275">
        <v>7.47</v>
      </c>
      <c r="I118" s="249"/>
      <c r="J118" s="18">
        <f>SUM(G118+H118+I118)</f>
        <v>150.80000000000001</v>
      </c>
      <c r="K118" s="35">
        <v>5.99</v>
      </c>
      <c r="L118" s="36">
        <f>+(F118-((SUM(J118+K118))))</f>
        <v>-2.8421709430404007E-14</v>
      </c>
      <c r="M118" s="221" t="s">
        <v>947</v>
      </c>
      <c r="N118" s="40"/>
    </row>
    <row r="119" spans="1:14" ht="15.75">
      <c r="A119" s="11">
        <f t="shared" si="5"/>
        <v>114</v>
      </c>
      <c r="B119" s="301" t="s">
        <v>1067</v>
      </c>
      <c r="C119" s="19" t="s">
        <v>942</v>
      </c>
      <c r="D119" s="197">
        <v>101866</v>
      </c>
      <c r="E119" s="356" t="s">
        <v>1085</v>
      </c>
      <c r="F119" s="14">
        <v>52.5</v>
      </c>
      <c r="G119" s="238">
        <v>50</v>
      </c>
      <c r="H119" s="131">
        <v>2.5</v>
      </c>
      <c r="I119" s="14"/>
      <c r="J119" s="18">
        <f>SUM(G119+H119+I119)</f>
        <v>52.5</v>
      </c>
      <c r="K119" s="32"/>
      <c r="L119" s="33">
        <f>+(F119-((SUM(J119+K119))))</f>
        <v>0</v>
      </c>
      <c r="M119" s="215"/>
      <c r="N119" s="194"/>
    </row>
    <row r="120" spans="1:14" ht="15.75">
      <c r="A120" s="11">
        <f t="shared" si="5"/>
        <v>115</v>
      </c>
      <c r="B120" s="19" t="s">
        <v>657</v>
      </c>
      <c r="C120" s="19" t="s">
        <v>942</v>
      </c>
      <c r="D120" s="19">
        <v>100000</v>
      </c>
      <c r="E120" s="356" t="s">
        <v>658</v>
      </c>
      <c r="F120" s="14">
        <v>105</v>
      </c>
      <c r="G120" s="53">
        <v>100</v>
      </c>
      <c r="H120" s="54">
        <v>5</v>
      </c>
      <c r="I120" s="14"/>
      <c r="J120" s="18">
        <f t="shared" si="6"/>
        <v>105</v>
      </c>
      <c r="K120" s="32"/>
      <c r="L120" s="33">
        <f t="shared" si="8"/>
        <v>0</v>
      </c>
      <c r="M120" s="215"/>
    </row>
    <row r="121" spans="1:14" ht="15.75">
      <c r="A121" s="11">
        <f t="shared" si="5"/>
        <v>116</v>
      </c>
      <c r="B121" s="30" t="s">
        <v>659</v>
      </c>
      <c r="C121" s="19" t="s">
        <v>942</v>
      </c>
      <c r="D121" s="19">
        <v>101600</v>
      </c>
      <c r="E121" s="315" t="s">
        <v>660</v>
      </c>
      <c r="F121" s="14">
        <v>671.25</v>
      </c>
      <c r="G121" s="74">
        <v>245</v>
      </c>
      <c r="H121" s="75">
        <v>6.25</v>
      </c>
      <c r="I121" s="249">
        <v>240</v>
      </c>
      <c r="J121" s="18">
        <f t="shared" si="6"/>
        <v>491.25</v>
      </c>
      <c r="K121" s="35">
        <v>180</v>
      </c>
      <c r="L121" s="36">
        <f t="shared" si="8"/>
        <v>0</v>
      </c>
      <c r="M121" s="215" t="s">
        <v>947</v>
      </c>
    </row>
    <row r="122" spans="1:14" ht="15.75">
      <c r="A122" s="11">
        <f t="shared" si="5"/>
        <v>117</v>
      </c>
      <c r="B122" s="19" t="s">
        <v>662</v>
      </c>
      <c r="C122" s="19" t="s">
        <v>942</v>
      </c>
      <c r="D122" s="19">
        <v>101809</v>
      </c>
      <c r="E122" s="355" t="s">
        <v>663</v>
      </c>
      <c r="F122" s="14">
        <v>210</v>
      </c>
      <c r="G122" s="74">
        <v>200</v>
      </c>
      <c r="H122" s="75">
        <v>10</v>
      </c>
      <c r="I122" s="14"/>
      <c r="J122" s="18">
        <f t="shared" si="6"/>
        <v>210</v>
      </c>
      <c r="K122" s="32"/>
      <c r="L122" s="33">
        <f t="shared" si="8"/>
        <v>0</v>
      </c>
      <c r="M122" s="215"/>
    </row>
    <row r="123" spans="1:14" ht="15.75">
      <c r="A123" s="11">
        <f t="shared" si="5"/>
        <v>118</v>
      </c>
      <c r="B123" s="30" t="s">
        <v>664</v>
      </c>
      <c r="C123" s="19" t="s">
        <v>942</v>
      </c>
      <c r="D123" s="19">
        <v>101721</v>
      </c>
      <c r="E123" s="359" t="s">
        <v>665</v>
      </c>
      <c r="F123" s="14">
        <v>105</v>
      </c>
      <c r="G123" s="74">
        <v>100</v>
      </c>
      <c r="H123" s="75">
        <v>5</v>
      </c>
      <c r="I123" s="249"/>
      <c r="J123" s="18">
        <f t="shared" si="6"/>
        <v>105</v>
      </c>
      <c r="K123" s="32"/>
      <c r="L123" s="33">
        <f>+(F123-((SUM(J123+K123))))</f>
        <v>0</v>
      </c>
      <c r="M123" s="215"/>
    </row>
    <row r="124" spans="1:14" ht="15.75">
      <c r="A124" s="11">
        <f t="shared" si="5"/>
        <v>119</v>
      </c>
      <c r="B124" s="30" t="s">
        <v>667</v>
      </c>
      <c r="C124" s="19" t="s">
        <v>942</v>
      </c>
      <c r="D124" s="212">
        <v>101571</v>
      </c>
      <c r="E124" s="359" t="s">
        <v>668</v>
      </c>
      <c r="F124" s="14">
        <v>52.5</v>
      </c>
      <c r="G124" s="26">
        <v>50</v>
      </c>
      <c r="H124" s="27">
        <v>2.5</v>
      </c>
      <c r="I124" s="249"/>
      <c r="J124" s="18">
        <f t="shared" si="6"/>
        <v>52.5</v>
      </c>
      <c r="K124" s="35"/>
      <c r="L124" s="36">
        <f t="shared" si="8"/>
        <v>0</v>
      </c>
      <c r="M124" s="215"/>
      <c r="N124" s="40"/>
    </row>
    <row r="125" spans="1:14" ht="15.75">
      <c r="A125" s="11">
        <f t="shared" si="5"/>
        <v>120</v>
      </c>
      <c r="B125" s="19" t="s">
        <v>669</v>
      </c>
      <c r="C125" s="19" t="s">
        <v>942</v>
      </c>
      <c r="D125" s="19">
        <v>101662</v>
      </c>
      <c r="E125" s="355" t="s">
        <v>262</v>
      </c>
      <c r="F125" s="14">
        <v>52.5</v>
      </c>
      <c r="G125" s="74">
        <v>50</v>
      </c>
      <c r="H125" s="75">
        <v>2.5</v>
      </c>
      <c r="I125" s="14"/>
      <c r="J125" s="18">
        <f t="shared" si="6"/>
        <v>52.5</v>
      </c>
      <c r="K125" s="32"/>
      <c r="L125" s="33">
        <f t="shared" si="8"/>
        <v>0</v>
      </c>
      <c r="M125" s="215"/>
      <c r="N125" s="40"/>
    </row>
    <row r="126" spans="1:14" ht="15.75">
      <c r="A126" s="11">
        <f t="shared" si="5"/>
        <v>121</v>
      </c>
      <c r="B126" s="30" t="s">
        <v>670</v>
      </c>
      <c r="C126" s="19" t="s">
        <v>942</v>
      </c>
      <c r="D126" s="19">
        <v>101515</v>
      </c>
      <c r="E126" s="359" t="s">
        <v>671</v>
      </c>
      <c r="F126" s="14">
        <v>210</v>
      </c>
      <c r="G126" s="26">
        <v>200</v>
      </c>
      <c r="H126" s="27">
        <v>10</v>
      </c>
      <c r="I126" s="248"/>
      <c r="J126" s="18">
        <f t="shared" si="6"/>
        <v>210</v>
      </c>
      <c r="K126" s="35"/>
      <c r="L126" s="36">
        <f t="shared" si="8"/>
        <v>0</v>
      </c>
      <c r="M126" s="37"/>
      <c r="N126" s="40"/>
    </row>
    <row r="127" spans="1:14" ht="15.75">
      <c r="A127" s="11">
        <f t="shared" si="5"/>
        <v>122</v>
      </c>
      <c r="B127" s="19" t="s">
        <v>672</v>
      </c>
      <c r="C127" s="19" t="s">
        <v>942</v>
      </c>
      <c r="D127" s="19">
        <v>101483</v>
      </c>
      <c r="E127" s="356" t="s">
        <v>140</v>
      </c>
      <c r="F127" s="14">
        <v>840</v>
      </c>
      <c r="G127" s="20">
        <v>800</v>
      </c>
      <c r="H127" s="21">
        <v>40</v>
      </c>
      <c r="I127" s="14"/>
      <c r="J127" s="18">
        <f t="shared" si="6"/>
        <v>840</v>
      </c>
      <c r="K127" s="32"/>
      <c r="L127" s="33">
        <f t="shared" si="8"/>
        <v>0</v>
      </c>
      <c r="M127" s="37"/>
      <c r="N127" s="40"/>
    </row>
    <row r="128" spans="1:14" ht="15.75">
      <c r="A128" s="11">
        <f t="shared" si="5"/>
        <v>123</v>
      </c>
      <c r="B128" s="333" t="s">
        <v>1017</v>
      </c>
      <c r="C128" s="19" t="s">
        <v>942</v>
      </c>
      <c r="D128" s="19">
        <v>105497</v>
      </c>
      <c r="E128" s="373" t="s">
        <v>1044</v>
      </c>
      <c r="F128" s="281">
        <v>150.5</v>
      </c>
      <c r="G128" s="274">
        <v>143.33000000000001</v>
      </c>
      <c r="H128" s="275">
        <v>7.17</v>
      </c>
      <c r="I128" s="277"/>
      <c r="J128" s="18">
        <f>SUM(G128+H128+I128)</f>
        <v>150.5</v>
      </c>
      <c r="K128" s="35"/>
      <c r="L128" s="36">
        <f>+(F128-((SUM(J128+K128))))</f>
        <v>0</v>
      </c>
      <c r="M128" s="215"/>
      <c r="N128" s="40"/>
    </row>
    <row r="129" spans="1:14" ht="15.75">
      <c r="A129" s="11">
        <f t="shared" si="5"/>
        <v>124</v>
      </c>
      <c r="B129" s="333" t="s">
        <v>1017</v>
      </c>
      <c r="C129" s="19" t="s">
        <v>942</v>
      </c>
      <c r="D129" s="19">
        <v>105497</v>
      </c>
      <c r="E129" s="388" t="s">
        <v>1044</v>
      </c>
      <c r="F129" s="281">
        <v>105</v>
      </c>
      <c r="G129" s="274">
        <v>100</v>
      </c>
      <c r="H129" s="275">
        <v>5</v>
      </c>
      <c r="I129" s="277"/>
      <c r="J129" s="18">
        <f>SUM(G129+H129+I129)</f>
        <v>105</v>
      </c>
      <c r="K129" s="35"/>
      <c r="L129" s="36">
        <f>+(F129-((SUM(J129+K129))))</f>
        <v>0</v>
      </c>
      <c r="M129" s="215"/>
      <c r="N129" s="6"/>
    </row>
    <row r="130" spans="1:14" ht="15.75">
      <c r="A130" s="11">
        <f t="shared" si="5"/>
        <v>125</v>
      </c>
      <c r="B130" s="19" t="s">
        <v>673</v>
      </c>
      <c r="C130" s="19" t="s">
        <v>942</v>
      </c>
      <c r="D130" s="19">
        <v>101607</v>
      </c>
      <c r="E130" s="355" t="s">
        <v>674</v>
      </c>
      <c r="F130" s="14">
        <v>52.5</v>
      </c>
      <c r="G130" s="74">
        <v>50</v>
      </c>
      <c r="H130" s="75">
        <v>2.5</v>
      </c>
      <c r="I130" s="14"/>
      <c r="J130" s="18">
        <f t="shared" si="6"/>
        <v>52.5</v>
      </c>
      <c r="K130" s="32"/>
      <c r="L130" s="33">
        <f t="shared" si="8"/>
        <v>0</v>
      </c>
      <c r="M130" s="215"/>
      <c r="N130" s="6"/>
    </row>
    <row r="131" spans="1:14" ht="15.75">
      <c r="A131" s="11">
        <f t="shared" si="5"/>
        <v>126</v>
      </c>
      <c r="B131" s="19" t="s">
        <v>828</v>
      </c>
      <c r="C131" s="19" t="s">
        <v>942</v>
      </c>
      <c r="D131" s="19">
        <v>101094</v>
      </c>
      <c r="E131" s="355" t="s">
        <v>829</v>
      </c>
      <c r="F131" s="14">
        <v>394.92</v>
      </c>
      <c r="G131" s="53">
        <v>100</v>
      </c>
      <c r="H131" s="54">
        <v>5</v>
      </c>
      <c r="I131" s="248">
        <v>289.92</v>
      </c>
      <c r="J131" s="18">
        <f t="shared" si="6"/>
        <v>394.92</v>
      </c>
      <c r="K131" s="32"/>
      <c r="L131" s="33">
        <f>+(F131-((SUM(J131+K131))))</f>
        <v>0</v>
      </c>
      <c r="M131" s="37" t="s">
        <v>1076</v>
      </c>
      <c r="N131" s="6"/>
    </row>
    <row r="132" spans="1:14" ht="15.75">
      <c r="A132" s="11">
        <f t="shared" si="5"/>
        <v>127</v>
      </c>
      <c r="B132" s="30" t="s">
        <v>830</v>
      </c>
      <c r="C132" s="19" t="s">
        <v>942</v>
      </c>
      <c r="D132" s="19">
        <v>101027</v>
      </c>
      <c r="E132" s="315" t="s">
        <v>290</v>
      </c>
      <c r="F132" s="249">
        <v>200.23</v>
      </c>
      <c r="G132" s="74">
        <v>100</v>
      </c>
      <c r="H132" s="75">
        <v>5</v>
      </c>
      <c r="I132" s="248">
        <v>95.23</v>
      </c>
      <c r="J132" s="18">
        <f t="shared" si="6"/>
        <v>200.23000000000002</v>
      </c>
      <c r="K132" s="77"/>
      <c r="L132" s="33">
        <f>+(F132-((SUM(J132+K132))))</f>
        <v>-2.8421709430404007E-14</v>
      </c>
      <c r="M132" s="37" t="s">
        <v>1076</v>
      </c>
      <c r="N132" s="6"/>
    </row>
    <row r="133" spans="1:14" ht="15.75">
      <c r="A133" s="11">
        <f t="shared" si="5"/>
        <v>128</v>
      </c>
      <c r="B133" s="19" t="s">
        <v>675</v>
      </c>
      <c r="C133" s="19" t="s">
        <v>942</v>
      </c>
      <c r="D133" s="19">
        <v>101516</v>
      </c>
      <c r="E133" s="356" t="s">
        <v>676</v>
      </c>
      <c r="F133" s="14">
        <v>210</v>
      </c>
      <c r="G133" s="20">
        <v>200</v>
      </c>
      <c r="H133" s="21">
        <v>10</v>
      </c>
      <c r="I133" s="248"/>
      <c r="J133" s="18">
        <f t="shared" si="6"/>
        <v>210</v>
      </c>
      <c r="K133" s="32"/>
      <c r="L133" s="33">
        <f t="shared" si="8"/>
        <v>0</v>
      </c>
      <c r="M133" s="37"/>
    </row>
    <row r="134" spans="1:14" ht="15.75">
      <c r="A134" s="11">
        <f t="shared" si="5"/>
        <v>129</v>
      </c>
      <c r="B134" s="19" t="s">
        <v>677</v>
      </c>
      <c r="C134" s="19" t="s">
        <v>942</v>
      </c>
      <c r="D134" s="19">
        <v>101634</v>
      </c>
      <c r="E134" s="355" t="s">
        <v>678</v>
      </c>
      <c r="F134" s="14">
        <v>210</v>
      </c>
      <c r="G134" s="74">
        <v>200</v>
      </c>
      <c r="H134" s="75">
        <v>10</v>
      </c>
      <c r="I134" s="14"/>
      <c r="J134" s="18">
        <f t="shared" si="6"/>
        <v>210</v>
      </c>
      <c r="K134" s="32"/>
      <c r="L134" s="33">
        <f t="shared" si="8"/>
        <v>0</v>
      </c>
      <c r="M134" s="215"/>
    </row>
    <row r="135" spans="1:14" ht="15.75">
      <c r="A135" s="11">
        <f t="shared" si="5"/>
        <v>130</v>
      </c>
      <c r="B135" s="19" t="s">
        <v>679</v>
      </c>
      <c r="C135" s="19" t="s">
        <v>942</v>
      </c>
      <c r="D135" s="19">
        <v>101067</v>
      </c>
      <c r="E135" s="355" t="s">
        <v>77</v>
      </c>
      <c r="F135" s="14">
        <v>110.75</v>
      </c>
      <c r="G135" s="74">
        <v>100</v>
      </c>
      <c r="H135" s="75">
        <v>5</v>
      </c>
      <c r="I135" s="14">
        <v>5.75</v>
      </c>
      <c r="J135" s="18">
        <f t="shared" si="6"/>
        <v>110.75</v>
      </c>
      <c r="K135" s="32"/>
      <c r="L135" s="33">
        <f t="shared" si="8"/>
        <v>0</v>
      </c>
      <c r="M135" s="37" t="s">
        <v>1076</v>
      </c>
    </row>
    <row r="136" spans="1:14" ht="15.75">
      <c r="A136" s="11">
        <f t="shared" ref="A136:A199" si="9">1+A135</f>
        <v>131</v>
      </c>
      <c r="B136" s="19" t="s">
        <v>680</v>
      </c>
      <c r="C136" s="19" t="s">
        <v>942</v>
      </c>
      <c r="D136" s="19">
        <v>101565</v>
      </c>
      <c r="E136" s="356" t="s">
        <v>681</v>
      </c>
      <c r="F136" s="14">
        <v>210</v>
      </c>
      <c r="G136" s="20">
        <v>200</v>
      </c>
      <c r="H136" s="21">
        <v>10</v>
      </c>
      <c r="I136" s="14"/>
      <c r="J136" s="18">
        <f t="shared" si="6"/>
        <v>210</v>
      </c>
      <c r="K136" s="32"/>
      <c r="L136" s="33">
        <f t="shared" si="8"/>
        <v>0</v>
      </c>
      <c r="M136" s="215"/>
    </row>
    <row r="137" spans="1:14" ht="15.75">
      <c r="A137" s="11">
        <f t="shared" si="9"/>
        <v>132</v>
      </c>
      <c r="B137" s="30" t="s">
        <v>682</v>
      </c>
      <c r="C137" s="19" t="s">
        <v>942</v>
      </c>
      <c r="D137" s="19">
        <v>101886</v>
      </c>
      <c r="E137" s="315" t="s">
        <v>683</v>
      </c>
      <c r="F137" s="14">
        <v>105</v>
      </c>
      <c r="G137" s="74">
        <v>100</v>
      </c>
      <c r="H137" s="75">
        <v>5</v>
      </c>
      <c r="I137" s="249"/>
      <c r="J137" s="18">
        <f t="shared" si="6"/>
        <v>105</v>
      </c>
      <c r="K137" s="35"/>
      <c r="L137" s="33">
        <f t="shared" si="8"/>
        <v>0</v>
      </c>
      <c r="M137" s="37"/>
    </row>
    <row r="138" spans="1:14" ht="15.75">
      <c r="A138" s="11">
        <f t="shared" si="9"/>
        <v>133</v>
      </c>
      <c r="B138" s="19" t="s">
        <v>684</v>
      </c>
      <c r="C138" s="19" t="s">
        <v>942</v>
      </c>
      <c r="D138" s="19">
        <v>101066</v>
      </c>
      <c r="E138" s="355" t="s">
        <v>84</v>
      </c>
      <c r="F138" s="14">
        <v>132.38999999999999</v>
      </c>
      <c r="G138" s="26">
        <v>100</v>
      </c>
      <c r="H138" s="27">
        <v>5</v>
      </c>
      <c r="I138" s="14">
        <v>27.39</v>
      </c>
      <c r="J138" s="18">
        <f t="shared" si="6"/>
        <v>132.38999999999999</v>
      </c>
      <c r="K138" s="32"/>
      <c r="L138" s="33">
        <f t="shared" si="8"/>
        <v>0</v>
      </c>
      <c r="M138" s="215" t="s">
        <v>1076</v>
      </c>
    </row>
    <row r="139" spans="1:14" ht="15.75">
      <c r="A139" s="11">
        <f t="shared" si="9"/>
        <v>134</v>
      </c>
      <c r="B139" s="19" t="s">
        <v>685</v>
      </c>
      <c r="C139" s="19" t="s">
        <v>942</v>
      </c>
      <c r="D139" s="19">
        <v>101684</v>
      </c>
      <c r="E139" s="355" t="s">
        <v>346</v>
      </c>
      <c r="F139" s="14">
        <v>52.5</v>
      </c>
      <c r="G139" s="74">
        <v>50</v>
      </c>
      <c r="H139" s="75">
        <v>2.5</v>
      </c>
      <c r="I139" s="14"/>
      <c r="J139" s="18">
        <f t="shared" si="6"/>
        <v>52.5</v>
      </c>
      <c r="K139" s="32"/>
      <c r="L139" s="33">
        <f t="shared" si="8"/>
        <v>0</v>
      </c>
      <c r="M139" s="215"/>
    </row>
    <row r="140" spans="1:14" ht="15.75">
      <c r="A140" s="11">
        <f t="shared" si="9"/>
        <v>135</v>
      </c>
      <c r="B140" s="19" t="s">
        <v>63</v>
      </c>
      <c r="C140" s="19" t="s">
        <v>942</v>
      </c>
      <c r="D140" s="19">
        <v>101825</v>
      </c>
      <c r="E140" s="356" t="s">
        <v>686</v>
      </c>
      <c r="F140" s="14">
        <v>105</v>
      </c>
      <c r="G140" s="53">
        <v>100</v>
      </c>
      <c r="H140" s="54">
        <v>5</v>
      </c>
      <c r="I140" s="14"/>
      <c r="J140" s="18">
        <f t="shared" si="6"/>
        <v>105</v>
      </c>
      <c r="K140" s="32"/>
      <c r="L140" s="33">
        <f t="shared" si="8"/>
        <v>0</v>
      </c>
      <c r="M140" s="37"/>
    </row>
    <row r="141" spans="1:14" ht="15.75">
      <c r="A141" s="11">
        <f t="shared" si="9"/>
        <v>136</v>
      </c>
      <c r="B141" s="19" t="s">
        <v>688</v>
      </c>
      <c r="C141" s="19" t="s">
        <v>942</v>
      </c>
      <c r="D141" s="19">
        <v>101808</v>
      </c>
      <c r="E141" s="356" t="s">
        <v>689</v>
      </c>
      <c r="F141" s="14">
        <v>105</v>
      </c>
      <c r="G141" s="74">
        <v>100</v>
      </c>
      <c r="H141" s="54">
        <v>5</v>
      </c>
      <c r="I141" s="14"/>
      <c r="J141" s="18">
        <f>SUM(G141+H141+I141)</f>
        <v>105</v>
      </c>
      <c r="K141" s="32"/>
      <c r="L141" s="33">
        <f>+(F141-((SUM(J141+K141))))</f>
        <v>0</v>
      </c>
      <c r="M141" s="37"/>
      <c r="N141" s="6"/>
    </row>
    <row r="142" spans="1:14" ht="15.75">
      <c r="A142" s="11">
        <f t="shared" si="9"/>
        <v>137</v>
      </c>
      <c r="B142" s="19" t="s">
        <v>666</v>
      </c>
      <c r="C142" s="19" t="s">
        <v>942</v>
      </c>
      <c r="D142" s="19">
        <v>101189</v>
      </c>
      <c r="E142" s="356" t="s">
        <v>89</v>
      </c>
      <c r="F142" s="14">
        <v>52.5</v>
      </c>
      <c r="G142" s="74">
        <v>50</v>
      </c>
      <c r="H142" s="75">
        <v>2.5</v>
      </c>
      <c r="I142" s="14"/>
      <c r="J142" s="18">
        <f>SUM(G142+H142+I142)</f>
        <v>52.5</v>
      </c>
      <c r="K142" s="32"/>
      <c r="L142" s="33">
        <f>+(F142-((SUM(J142+K142))))</f>
        <v>0</v>
      </c>
      <c r="M142" s="215"/>
      <c r="N142" s="40"/>
    </row>
    <row r="143" spans="1:14" ht="15.75">
      <c r="A143" s="11">
        <f t="shared" si="9"/>
        <v>138</v>
      </c>
      <c r="B143" s="19" t="s">
        <v>5</v>
      </c>
      <c r="C143" s="19" t="s">
        <v>942</v>
      </c>
      <c r="D143" s="19">
        <v>101738</v>
      </c>
      <c r="E143" s="315" t="s">
        <v>687</v>
      </c>
      <c r="F143" s="14">
        <v>105</v>
      </c>
      <c r="G143" s="20">
        <v>100</v>
      </c>
      <c r="H143" s="21">
        <v>5</v>
      </c>
      <c r="I143" s="14"/>
      <c r="J143" s="18">
        <f t="shared" si="6"/>
        <v>105</v>
      </c>
      <c r="K143" s="32"/>
      <c r="L143" s="33">
        <f t="shared" si="8"/>
        <v>0</v>
      </c>
      <c r="M143" s="215"/>
      <c r="N143" s="6"/>
    </row>
    <row r="144" spans="1:14" ht="15.75">
      <c r="A144" s="11">
        <f t="shared" si="9"/>
        <v>139</v>
      </c>
      <c r="B144" s="19" t="s">
        <v>690</v>
      </c>
      <c r="C144" s="19" t="s">
        <v>942</v>
      </c>
      <c r="D144" s="19">
        <v>101756</v>
      </c>
      <c r="E144" s="356" t="s">
        <v>965</v>
      </c>
      <c r="F144" s="14">
        <v>262.5</v>
      </c>
      <c r="G144" s="53">
        <v>250</v>
      </c>
      <c r="H144" s="54">
        <v>12.5</v>
      </c>
      <c r="I144" s="14"/>
      <c r="J144" s="18">
        <f t="shared" si="6"/>
        <v>262.5</v>
      </c>
      <c r="K144" s="32"/>
      <c r="L144" s="33">
        <f t="shared" si="8"/>
        <v>0</v>
      </c>
      <c r="M144" s="37"/>
      <c r="N144" s="6"/>
    </row>
    <row r="145" spans="1:14" ht="15.75">
      <c r="A145" s="11">
        <f t="shared" si="9"/>
        <v>140</v>
      </c>
      <c r="B145" s="301" t="s">
        <v>1047</v>
      </c>
      <c r="C145" s="197" t="s">
        <v>942</v>
      </c>
      <c r="D145" s="197">
        <v>105524</v>
      </c>
      <c r="E145" s="356" t="s">
        <v>1048</v>
      </c>
      <c r="F145" s="14">
        <v>52.5</v>
      </c>
      <c r="G145" s="238">
        <v>50</v>
      </c>
      <c r="H145" s="131">
        <v>2.5</v>
      </c>
      <c r="I145" s="14"/>
      <c r="J145" s="18">
        <f>SUM(G145+H145+I145)</f>
        <v>52.5</v>
      </c>
      <c r="K145" s="32"/>
      <c r="L145" s="33">
        <f>+(F145-((SUM(J145+K145))))</f>
        <v>0</v>
      </c>
      <c r="M145" s="215"/>
      <c r="N145" s="6"/>
    </row>
    <row r="146" spans="1:14" ht="15.75">
      <c r="A146" s="11">
        <f t="shared" si="9"/>
        <v>141</v>
      </c>
      <c r="B146" s="116" t="s">
        <v>898</v>
      </c>
      <c r="C146" s="19" t="s">
        <v>942</v>
      </c>
      <c r="D146" s="19">
        <v>101880</v>
      </c>
      <c r="E146" s="356" t="s">
        <v>899</v>
      </c>
      <c r="F146" s="14">
        <v>52.5</v>
      </c>
      <c r="G146" s="74">
        <v>50</v>
      </c>
      <c r="H146" s="54">
        <v>2.5</v>
      </c>
      <c r="I146" s="14"/>
      <c r="J146" s="18">
        <f>SUM(G146+H146+I146)</f>
        <v>52.5</v>
      </c>
      <c r="K146" s="32"/>
      <c r="L146" s="33">
        <f>+(F146-((SUM(J146+K146))))</f>
        <v>0</v>
      </c>
      <c r="M146" s="37"/>
      <c r="N146" s="6"/>
    </row>
    <row r="147" spans="1:14" ht="15.75">
      <c r="A147" s="11">
        <f t="shared" si="9"/>
        <v>142</v>
      </c>
      <c r="B147" s="19" t="s">
        <v>822</v>
      </c>
      <c r="C147" s="19" t="s">
        <v>942</v>
      </c>
      <c r="D147" s="19">
        <v>101042</v>
      </c>
      <c r="E147" s="356" t="s">
        <v>823</v>
      </c>
      <c r="F147" s="14">
        <v>183.52</v>
      </c>
      <c r="G147" s="53">
        <v>100</v>
      </c>
      <c r="H147" s="54">
        <v>5</v>
      </c>
      <c r="I147" s="248">
        <v>74.22</v>
      </c>
      <c r="J147" s="18">
        <f t="shared" si="6"/>
        <v>179.22</v>
      </c>
      <c r="K147" s="77">
        <v>4.3</v>
      </c>
      <c r="L147" s="33">
        <f>+(F147-((SUM(J147+K147))))</f>
        <v>0</v>
      </c>
      <c r="M147" s="37"/>
      <c r="N147" s="6"/>
    </row>
    <row r="148" spans="1:14" ht="15.75">
      <c r="A148" s="11">
        <f t="shared" si="9"/>
        <v>143</v>
      </c>
      <c r="B148" s="19" t="s">
        <v>597</v>
      </c>
      <c r="C148" s="211" t="s">
        <v>942</v>
      </c>
      <c r="D148" s="211">
        <v>105248</v>
      </c>
      <c r="E148" s="356" t="s">
        <v>954</v>
      </c>
      <c r="F148" s="14">
        <v>109.32</v>
      </c>
      <c r="G148" s="53">
        <v>100</v>
      </c>
      <c r="H148" s="54">
        <v>5</v>
      </c>
      <c r="I148" s="14">
        <v>4.32</v>
      </c>
      <c r="J148" s="18">
        <f>SUM(G148+H148+I148)</f>
        <v>109.32</v>
      </c>
      <c r="K148" s="32"/>
      <c r="L148" s="33">
        <f>+(F148-((SUM(J148+K148))))</f>
        <v>0</v>
      </c>
      <c r="M148" s="215" t="s">
        <v>1076</v>
      </c>
      <c r="N148" s="40"/>
    </row>
    <row r="149" spans="1:14" ht="15.75">
      <c r="A149" s="11">
        <f t="shared" si="9"/>
        <v>144</v>
      </c>
      <c r="B149" s="333" t="s">
        <v>1003</v>
      </c>
      <c r="C149" s="19" t="s">
        <v>942</v>
      </c>
      <c r="D149" s="19">
        <v>105556</v>
      </c>
      <c r="E149" s="315" t="s">
        <v>1056</v>
      </c>
      <c r="F149" s="147">
        <v>105</v>
      </c>
      <c r="G149" s="278">
        <v>100</v>
      </c>
      <c r="H149" s="279">
        <v>5</v>
      </c>
      <c r="I149" s="249"/>
      <c r="J149" s="18">
        <f>SUM(G149+H149+I149)</f>
        <v>105</v>
      </c>
      <c r="K149" s="35"/>
      <c r="L149" s="36">
        <f>+(F149-((SUM(J149+K149))))</f>
        <v>0</v>
      </c>
      <c r="M149" s="215"/>
      <c r="N149" s="40"/>
    </row>
    <row r="150" spans="1:14" ht="15.75">
      <c r="A150" s="11">
        <f t="shared" si="9"/>
        <v>145</v>
      </c>
      <c r="B150" s="19" t="s">
        <v>51</v>
      </c>
      <c r="C150" s="19" t="s">
        <v>942</v>
      </c>
      <c r="D150" s="19">
        <v>101736</v>
      </c>
      <c r="E150" s="356" t="s">
        <v>692</v>
      </c>
      <c r="F150" s="14">
        <v>52.5</v>
      </c>
      <c r="G150" s="53">
        <v>50</v>
      </c>
      <c r="H150" s="54">
        <v>2.5</v>
      </c>
      <c r="I150" s="14"/>
      <c r="J150" s="18">
        <f t="shared" si="6"/>
        <v>52.5</v>
      </c>
      <c r="K150" s="32"/>
      <c r="L150" s="33">
        <f t="shared" si="8"/>
        <v>0</v>
      </c>
      <c r="M150" s="37"/>
      <c r="N150" s="40"/>
    </row>
    <row r="151" spans="1:14" ht="15.75">
      <c r="A151" s="11">
        <f t="shared" si="9"/>
        <v>146</v>
      </c>
      <c r="B151" s="19" t="s">
        <v>696</v>
      </c>
      <c r="C151" s="19" t="s">
        <v>942</v>
      </c>
      <c r="D151" s="19">
        <v>101705</v>
      </c>
      <c r="E151" s="356" t="s">
        <v>697</v>
      </c>
      <c r="F151" s="14">
        <v>210</v>
      </c>
      <c r="G151" s="74">
        <v>200</v>
      </c>
      <c r="H151" s="54">
        <v>10</v>
      </c>
      <c r="I151" s="14"/>
      <c r="J151" s="18">
        <f t="shared" si="6"/>
        <v>210</v>
      </c>
      <c r="K151" s="32"/>
      <c r="L151" s="33">
        <f t="shared" si="8"/>
        <v>0</v>
      </c>
      <c r="M151" s="37"/>
      <c r="N151" s="40"/>
    </row>
    <row r="152" spans="1:14" ht="15.75">
      <c r="A152" s="11">
        <f t="shared" si="9"/>
        <v>147</v>
      </c>
      <c r="B152" s="116" t="s">
        <v>698</v>
      </c>
      <c r="C152" s="19" t="s">
        <v>942</v>
      </c>
      <c r="D152" s="19">
        <v>105069</v>
      </c>
      <c r="E152" s="356" t="s">
        <v>699</v>
      </c>
      <c r="F152" s="14">
        <v>105</v>
      </c>
      <c r="G152" s="74">
        <v>100</v>
      </c>
      <c r="H152" s="54">
        <v>5</v>
      </c>
      <c r="I152" s="14"/>
      <c r="J152" s="18">
        <f t="shared" si="6"/>
        <v>105</v>
      </c>
      <c r="K152" s="32"/>
      <c r="L152" s="33">
        <f t="shared" si="8"/>
        <v>0</v>
      </c>
      <c r="M152" s="37"/>
      <c r="N152" s="40"/>
    </row>
    <row r="153" spans="1:14" ht="15.75">
      <c r="A153" s="11">
        <f t="shared" si="9"/>
        <v>148</v>
      </c>
      <c r="B153" s="280" t="s">
        <v>997</v>
      </c>
      <c r="C153" s="12" t="s">
        <v>942</v>
      </c>
      <c r="D153" s="19">
        <v>105342</v>
      </c>
      <c r="E153" s="315" t="s">
        <v>998</v>
      </c>
      <c r="F153" s="14">
        <v>188.61</v>
      </c>
      <c r="G153" s="74">
        <v>100</v>
      </c>
      <c r="H153" s="75">
        <v>3.39</v>
      </c>
      <c r="I153" s="249">
        <v>85.22</v>
      </c>
      <c r="J153" s="18">
        <f>SUM(G153+H153+I153)</f>
        <v>188.61</v>
      </c>
      <c r="K153" s="35"/>
      <c r="L153" s="36">
        <f>+(F153-((SUM(J153+K153))))</f>
        <v>0</v>
      </c>
      <c r="M153" s="215" t="s">
        <v>1076</v>
      </c>
      <c r="N153" s="40"/>
    </row>
    <row r="154" spans="1:14" ht="15.75">
      <c r="A154" s="11">
        <f t="shared" si="9"/>
        <v>149</v>
      </c>
      <c r="B154" s="116" t="s">
        <v>700</v>
      </c>
      <c r="C154" s="19" t="s">
        <v>942</v>
      </c>
      <c r="D154" s="19">
        <v>105104</v>
      </c>
      <c r="E154" s="356" t="s">
        <v>701</v>
      </c>
      <c r="F154" s="14">
        <v>210</v>
      </c>
      <c r="G154" s="74">
        <v>200</v>
      </c>
      <c r="H154" s="54">
        <v>10</v>
      </c>
      <c r="I154" s="14"/>
      <c r="J154" s="18">
        <f t="shared" si="6"/>
        <v>210</v>
      </c>
      <c r="K154" s="32"/>
      <c r="L154" s="33">
        <f t="shared" si="8"/>
        <v>0</v>
      </c>
      <c r="M154" s="37"/>
      <c r="N154" s="40"/>
    </row>
    <row r="155" spans="1:14" ht="15.75">
      <c r="A155" s="11">
        <f t="shared" si="9"/>
        <v>150</v>
      </c>
      <c r="B155" s="132" t="s">
        <v>702</v>
      </c>
      <c r="C155" s="19" t="s">
        <v>942</v>
      </c>
      <c r="D155" s="197">
        <v>105145</v>
      </c>
      <c r="E155" s="356" t="s">
        <v>703</v>
      </c>
      <c r="F155" s="14">
        <v>52.5</v>
      </c>
      <c r="G155" s="238">
        <v>50</v>
      </c>
      <c r="H155" s="131">
        <v>2.5</v>
      </c>
      <c r="I155" s="14"/>
      <c r="J155" s="18">
        <f t="shared" ref="J155:J217" si="10">SUM(G155+H155+I155)</f>
        <v>52.5</v>
      </c>
      <c r="K155" s="32"/>
      <c r="L155" s="33">
        <f t="shared" si="8"/>
        <v>0</v>
      </c>
      <c r="M155" s="37"/>
      <c r="N155" s="40"/>
    </row>
    <row r="156" spans="1:14" ht="15.75">
      <c r="A156" s="11">
        <f t="shared" si="9"/>
        <v>151</v>
      </c>
      <c r="B156" s="132" t="s">
        <v>704</v>
      </c>
      <c r="C156" s="19" t="s">
        <v>942</v>
      </c>
      <c r="D156" s="197">
        <v>105134</v>
      </c>
      <c r="E156" s="356" t="s">
        <v>705</v>
      </c>
      <c r="F156" s="14">
        <v>52.5</v>
      </c>
      <c r="G156" s="238">
        <v>50</v>
      </c>
      <c r="H156" s="131">
        <v>2.5</v>
      </c>
      <c r="I156" s="14"/>
      <c r="J156" s="18">
        <f t="shared" si="10"/>
        <v>52.5</v>
      </c>
      <c r="K156" s="32"/>
      <c r="L156" s="33">
        <f t="shared" si="8"/>
        <v>0</v>
      </c>
      <c r="M156" s="37"/>
      <c r="N156" s="40"/>
    </row>
    <row r="157" spans="1:14" ht="15.75">
      <c r="A157" s="11">
        <f t="shared" si="9"/>
        <v>152</v>
      </c>
      <c r="B157" s="69" t="s">
        <v>834</v>
      </c>
      <c r="C157" s="145" t="s">
        <v>942</v>
      </c>
      <c r="D157" s="19">
        <v>101082</v>
      </c>
      <c r="E157" s="360" t="s">
        <v>280</v>
      </c>
      <c r="F157" s="264">
        <v>171.78</v>
      </c>
      <c r="G157" s="53">
        <v>100</v>
      </c>
      <c r="H157" s="71">
        <v>5</v>
      </c>
      <c r="I157" s="251">
        <v>66.78</v>
      </c>
      <c r="J157" s="18">
        <f t="shared" si="10"/>
        <v>171.78</v>
      </c>
      <c r="K157" s="73"/>
      <c r="L157" s="33">
        <f t="shared" si="8"/>
        <v>0</v>
      </c>
      <c r="M157" s="37" t="s">
        <v>1076</v>
      </c>
      <c r="N157" s="40"/>
    </row>
    <row r="158" spans="1:14" ht="15.75">
      <c r="A158" s="11">
        <f t="shared" si="9"/>
        <v>153</v>
      </c>
      <c r="B158" s="19" t="s">
        <v>835</v>
      </c>
      <c r="C158" s="19" t="s">
        <v>942</v>
      </c>
      <c r="D158" s="19">
        <v>101033</v>
      </c>
      <c r="E158" s="356" t="s">
        <v>301</v>
      </c>
      <c r="F158" s="14">
        <v>105</v>
      </c>
      <c r="G158" s="53">
        <v>100</v>
      </c>
      <c r="H158" s="54">
        <v>5</v>
      </c>
      <c r="I158" s="248"/>
      <c r="J158" s="18">
        <f t="shared" si="10"/>
        <v>105</v>
      </c>
      <c r="K158" s="32"/>
      <c r="L158" s="33">
        <f t="shared" si="8"/>
        <v>0</v>
      </c>
      <c r="M158" s="37"/>
      <c r="N158" s="40"/>
    </row>
    <row r="159" spans="1:14" ht="15.75">
      <c r="A159" s="11">
        <f t="shared" si="9"/>
        <v>154</v>
      </c>
      <c r="B159" s="116" t="s">
        <v>888</v>
      </c>
      <c r="C159" s="19" t="s">
        <v>942</v>
      </c>
      <c r="D159" s="19">
        <v>101857</v>
      </c>
      <c r="E159" s="356" t="s">
        <v>889</v>
      </c>
      <c r="F159" s="14">
        <v>52.5</v>
      </c>
      <c r="G159" s="74">
        <v>50</v>
      </c>
      <c r="H159" s="54">
        <v>2.5</v>
      </c>
      <c r="I159" s="248"/>
      <c r="J159" s="18">
        <f t="shared" si="10"/>
        <v>52.5</v>
      </c>
      <c r="K159" s="32"/>
      <c r="L159" s="33">
        <f t="shared" si="8"/>
        <v>0</v>
      </c>
      <c r="M159" s="37"/>
      <c r="N159" s="40"/>
    </row>
    <row r="160" spans="1:14" ht="15.75">
      <c r="A160" s="11">
        <f t="shared" si="9"/>
        <v>155</v>
      </c>
      <c r="B160" s="116" t="s">
        <v>890</v>
      </c>
      <c r="C160" s="19" t="s">
        <v>942</v>
      </c>
      <c r="D160" s="19">
        <v>101861</v>
      </c>
      <c r="E160" s="356" t="s">
        <v>891</v>
      </c>
      <c r="F160" s="14">
        <v>536.64</v>
      </c>
      <c r="G160" s="74">
        <v>100</v>
      </c>
      <c r="H160" s="54">
        <v>5</v>
      </c>
      <c r="I160" s="14">
        <v>431.64</v>
      </c>
      <c r="J160" s="18">
        <f t="shared" si="10"/>
        <v>536.64</v>
      </c>
      <c r="K160" s="32"/>
      <c r="L160" s="33">
        <f t="shared" si="8"/>
        <v>0</v>
      </c>
      <c r="M160" s="37"/>
      <c r="N160" s="40"/>
    </row>
    <row r="161" spans="1:14" ht="15.75">
      <c r="A161" s="11">
        <f t="shared" si="9"/>
        <v>156</v>
      </c>
      <c r="B161" s="19" t="s">
        <v>41</v>
      </c>
      <c r="C161" s="19" t="s">
        <v>942</v>
      </c>
      <c r="D161" s="19">
        <v>101741</v>
      </c>
      <c r="E161" s="356" t="s">
        <v>695</v>
      </c>
      <c r="F161" s="14">
        <v>105</v>
      </c>
      <c r="G161" s="53">
        <v>100</v>
      </c>
      <c r="H161" s="54">
        <v>5</v>
      </c>
      <c r="I161" s="250"/>
      <c r="J161" s="18">
        <f>SUM(G161+H161+I161)</f>
        <v>105</v>
      </c>
      <c r="K161" s="32"/>
      <c r="L161" s="33">
        <f>+(F161-((SUM(J161+K161))))</f>
        <v>0</v>
      </c>
      <c r="M161" s="37"/>
      <c r="N161" s="40"/>
    </row>
    <row r="162" spans="1:14" ht="15.75">
      <c r="A162" s="11">
        <f t="shared" si="9"/>
        <v>157</v>
      </c>
      <c r="B162" s="19" t="s">
        <v>852</v>
      </c>
      <c r="C162" s="19" t="s">
        <v>942</v>
      </c>
      <c r="D162" s="19">
        <v>101724</v>
      </c>
      <c r="E162" s="355" t="s">
        <v>853</v>
      </c>
      <c r="F162" s="14">
        <v>148.47</v>
      </c>
      <c r="G162" s="20">
        <v>100</v>
      </c>
      <c r="H162" s="21">
        <v>5</v>
      </c>
      <c r="I162" s="252">
        <v>43.47</v>
      </c>
      <c r="J162" s="18">
        <f t="shared" si="10"/>
        <v>148.47</v>
      </c>
      <c r="K162" s="32"/>
      <c r="L162" s="33">
        <f t="shared" si="8"/>
        <v>0</v>
      </c>
      <c r="M162" s="215"/>
      <c r="N162" s="40"/>
    </row>
    <row r="163" spans="1:14" ht="15.75">
      <c r="A163" s="11">
        <f t="shared" si="9"/>
        <v>158</v>
      </c>
      <c r="B163" s="30" t="s">
        <v>11</v>
      </c>
      <c r="C163" s="19" t="s">
        <v>942</v>
      </c>
      <c r="D163" s="19">
        <v>101084</v>
      </c>
      <c r="E163" s="315" t="s">
        <v>858</v>
      </c>
      <c r="F163" s="249">
        <v>52.5</v>
      </c>
      <c r="G163" s="26">
        <v>50</v>
      </c>
      <c r="H163" s="27">
        <v>2.5</v>
      </c>
      <c r="I163" s="80"/>
      <c r="J163" s="18">
        <f t="shared" si="10"/>
        <v>52.5</v>
      </c>
      <c r="K163" s="35"/>
      <c r="L163" s="36">
        <f t="shared" si="8"/>
        <v>0</v>
      </c>
      <c r="M163" s="215"/>
      <c r="N163" s="40"/>
    </row>
    <row r="164" spans="1:14" ht="15.75">
      <c r="A164" s="11">
        <f t="shared" si="9"/>
        <v>159</v>
      </c>
      <c r="B164" s="19" t="s">
        <v>54</v>
      </c>
      <c r="C164" s="19" t="s">
        <v>942</v>
      </c>
      <c r="D164" s="19">
        <v>101740</v>
      </c>
      <c r="E164" s="356" t="s">
        <v>56</v>
      </c>
      <c r="F164" s="14">
        <v>125.64</v>
      </c>
      <c r="G164" s="53">
        <v>100</v>
      </c>
      <c r="H164" s="54">
        <v>5</v>
      </c>
      <c r="I164" s="14">
        <v>16.309999999999999</v>
      </c>
      <c r="J164" s="18">
        <f t="shared" si="10"/>
        <v>121.31</v>
      </c>
      <c r="K164" s="32">
        <v>4.33</v>
      </c>
      <c r="L164" s="33">
        <f t="shared" si="8"/>
        <v>0</v>
      </c>
      <c r="M164" s="215" t="s">
        <v>947</v>
      </c>
      <c r="N164" s="40"/>
    </row>
    <row r="165" spans="1:14" ht="15.75">
      <c r="A165" s="11">
        <f t="shared" si="9"/>
        <v>160</v>
      </c>
      <c r="B165" s="19" t="s">
        <v>23</v>
      </c>
      <c r="C165" s="19" t="s">
        <v>942</v>
      </c>
      <c r="D165" s="19">
        <v>101021</v>
      </c>
      <c r="E165" s="361" t="s">
        <v>861</v>
      </c>
      <c r="F165" s="14">
        <v>52.5</v>
      </c>
      <c r="G165" s="20">
        <v>50</v>
      </c>
      <c r="H165" s="21">
        <v>2.5</v>
      </c>
      <c r="I165" s="14"/>
      <c r="J165" s="18">
        <f t="shared" si="10"/>
        <v>52.5</v>
      </c>
      <c r="K165" s="32"/>
      <c r="L165" s="33">
        <f t="shared" si="8"/>
        <v>0</v>
      </c>
      <c r="M165" s="215"/>
      <c r="N165" s="40"/>
    </row>
    <row r="166" spans="1:14" ht="15.75">
      <c r="A166" s="11">
        <f t="shared" si="9"/>
        <v>161</v>
      </c>
      <c r="B166" s="19" t="s">
        <v>26</v>
      </c>
      <c r="C166" s="19" t="s">
        <v>942</v>
      </c>
      <c r="D166" s="19">
        <v>101024</v>
      </c>
      <c r="E166" s="361" t="s">
        <v>862</v>
      </c>
      <c r="F166" s="14">
        <v>52.5</v>
      </c>
      <c r="G166" s="20">
        <v>50</v>
      </c>
      <c r="H166" s="21">
        <v>2.5</v>
      </c>
      <c r="I166" s="14"/>
      <c r="J166" s="18">
        <f t="shared" si="10"/>
        <v>52.5</v>
      </c>
      <c r="K166" s="32"/>
      <c r="L166" s="33">
        <f t="shared" si="8"/>
        <v>0</v>
      </c>
      <c r="M166" s="215"/>
      <c r="N166" s="6"/>
    </row>
    <row r="167" spans="1:14" ht="15.75">
      <c r="A167" s="11">
        <f t="shared" si="9"/>
        <v>162</v>
      </c>
      <c r="B167" s="19" t="s">
        <v>69</v>
      </c>
      <c r="C167" s="19" t="s">
        <v>942</v>
      </c>
      <c r="D167" s="19">
        <v>101749</v>
      </c>
      <c r="E167" s="361" t="s">
        <v>864</v>
      </c>
      <c r="F167" s="14">
        <v>143.63</v>
      </c>
      <c r="G167" s="53">
        <v>100</v>
      </c>
      <c r="H167" s="54">
        <v>5</v>
      </c>
      <c r="I167" s="14">
        <v>38.630000000000003</v>
      </c>
      <c r="J167" s="18">
        <f t="shared" si="10"/>
        <v>143.63</v>
      </c>
      <c r="K167" s="32"/>
      <c r="L167" s="33">
        <f t="shared" si="8"/>
        <v>0</v>
      </c>
      <c r="M167" s="215"/>
      <c r="N167" s="6"/>
    </row>
    <row r="168" spans="1:14" ht="15.75">
      <c r="A168" s="11">
        <f t="shared" si="9"/>
        <v>163</v>
      </c>
      <c r="B168" s="19" t="s">
        <v>71</v>
      </c>
      <c r="C168" s="19" t="s">
        <v>942</v>
      </c>
      <c r="D168" s="19">
        <v>101750</v>
      </c>
      <c r="E168" s="361" t="s">
        <v>865</v>
      </c>
      <c r="F168" s="14">
        <v>134.81</v>
      </c>
      <c r="G168" s="53">
        <v>100</v>
      </c>
      <c r="H168" s="54">
        <v>5</v>
      </c>
      <c r="I168" s="14">
        <v>29.81</v>
      </c>
      <c r="J168" s="18">
        <f t="shared" si="10"/>
        <v>134.81</v>
      </c>
      <c r="K168" s="32"/>
      <c r="L168" s="33">
        <f t="shared" si="8"/>
        <v>0</v>
      </c>
      <c r="M168" s="215"/>
      <c r="N168" s="6"/>
    </row>
    <row r="169" spans="1:14" ht="15.75">
      <c r="A169" s="11">
        <f t="shared" si="9"/>
        <v>164</v>
      </c>
      <c r="B169" s="19" t="s">
        <v>878</v>
      </c>
      <c r="C169" s="19" t="s">
        <v>942</v>
      </c>
      <c r="D169" s="19">
        <v>101807</v>
      </c>
      <c r="E169" s="356" t="s">
        <v>879</v>
      </c>
      <c r="F169" s="14">
        <v>152.65</v>
      </c>
      <c r="G169" s="74">
        <v>100</v>
      </c>
      <c r="H169" s="54">
        <v>5</v>
      </c>
      <c r="I169" s="14">
        <v>47.65</v>
      </c>
      <c r="J169" s="18">
        <f t="shared" si="10"/>
        <v>152.65</v>
      </c>
      <c r="K169" s="32"/>
      <c r="L169" s="33">
        <f t="shared" si="8"/>
        <v>0</v>
      </c>
      <c r="M169" s="215"/>
      <c r="N169" s="6"/>
    </row>
    <row r="170" spans="1:14" ht="15.75">
      <c r="A170" s="11">
        <f t="shared" si="9"/>
        <v>165</v>
      </c>
      <c r="B170" s="19" t="s">
        <v>880</v>
      </c>
      <c r="C170" s="19" t="s">
        <v>942</v>
      </c>
      <c r="D170" s="19">
        <v>101832</v>
      </c>
      <c r="E170" s="356" t="s">
        <v>881</v>
      </c>
      <c r="F170" s="14">
        <v>187.3</v>
      </c>
      <c r="G170" s="74">
        <v>100</v>
      </c>
      <c r="H170" s="54">
        <v>5</v>
      </c>
      <c r="I170" s="14">
        <v>82.3</v>
      </c>
      <c r="J170" s="18">
        <f t="shared" si="10"/>
        <v>187.3</v>
      </c>
      <c r="K170" s="32"/>
      <c r="L170" s="33">
        <f t="shared" si="8"/>
        <v>0</v>
      </c>
      <c r="M170" s="37"/>
      <c r="N170" s="6"/>
    </row>
    <row r="171" spans="1:14" ht="15.75">
      <c r="A171" s="11">
        <f t="shared" si="9"/>
        <v>166</v>
      </c>
      <c r="B171" s="19" t="s">
        <v>423</v>
      </c>
      <c r="C171" s="19" t="s">
        <v>942</v>
      </c>
      <c r="D171" s="19">
        <v>101626</v>
      </c>
      <c r="E171" s="355" t="s">
        <v>710</v>
      </c>
      <c r="F171" s="14">
        <v>52.5</v>
      </c>
      <c r="G171" s="74">
        <v>50</v>
      </c>
      <c r="H171" s="75">
        <v>2.5</v>
      </c>
      <c r="I171" s="14"/>
      <c r="J171" s="18">
        <f t="shared" si="10"/>
        <v>52.5</v>
      </c>
      <c r="K171" s="32"/>
      <c r="L171" s="33">
        <f t="shared" si="8"/>
        <v>0</v>
      </c>
      <c r="M171" s="37"/>
      <c r="N171" s="6"/>
    </row>
    <row r="172" spans="1:14" ht="15.75">
      <c r="A172" s="11">
        <f t="shared" si="9"/>
        <v>167</v>
      </c>
      <c r="B172" s="19" t="s">
        <v>404</v>
      </c>
      <c r="C172" s="19" t="s">
        <v>942</v>
      </c>
      <c r="D172" s="19">
        <v>111111</v>
      </c>
      <c r="E172" s="356" t="s">
        <v>966</v>
      </c>
      <c r="F172" s="14">
        <v>52.5</v>
      </c>
      <c r="G172" s="74">
        <v>50</v>
      </c>
      <c r="H172" s="75">
        <v>2.5</v>
      </c>
      <c r="I172" s="14"/>
      <c r="J172" s="18">
        <f t="shared" si="10"/>
        <v>52.5</v>
      </c>
      <c r="K172" s="32"/>
      <c r="L172" s="33">
        <f t="shared" si="8"/>
        <v>0</v>
      </c>
      <c r="M172" s="215"/>
      <c r="N172" s="6"/>
    </row>
    <row r="173" spans="1:14" ht="15.75">
      <c r="A173" s="11">
        <f t="shared" si="9"/>
        <v>168</v>
      </c>
      <c r="B173" s="19" t="s">
        <v>712</v>
      </c>
      <c r="C173" s="19" t="s">
        <v>942</v>
      </c>
      <c r="D173" s="19">
        <v>101792</v>
      </c>
      <c r="E173" s="355" t="s">
        <v>713</v>
      </c>
      <c r="F173" s="14">
        <v>52.5</v>
      </c>
      <c r="G173" s="74">
        <v>50</v>
      </c>
      <c r="H173" s="75">
        <v>2.5</v>
      </c>
      <c r="I173" s="14"/>
      <c r="J173" s="18">
        <f t="shared" si="10"/>
        <v>52.5</v>
      </c>
      <c r="K173" s="32"/>
      <c r="L173" s="33">
        <f t="shared" si="8"/>
        <v>0</v>
      </c>
      <c r="M173" s="215"/>
      <c r="N173" s="6"/>
    </row>
    <row r="174" spans="1:14" ht="15.75">
      <c r="A174" s="11">
        <f t="shared" si="9"/>
        <v>169</v>
      </c>
      <c r="B174" s="19" t="s">
        <v>714</v>
      </c>
      <c r="C174" s="19" t="s">
        <v>942</v>
      </c>
      <c r="D174" s="19">
        <v>101711</v>
      </c>
      <c r="E174" s="355" t="s">
        <v>715</v>
      </c>
      <c r="F174" s="14">
        <v>52.5</v>
      </c>
      <c r="G174" s="74">
        <v>50</v>
      </c>
      <c r="H174" s="75">
        <v>2.5</v>
      </c>
      <c r="I174" s="14"/>
      <c r="J174" s="18">
        <f t="shared" si="10"/>
        <v>52.5</v>
      </c>
      <c r="K174" s="32"/>
      <c r="L174" s="33">
        <f t="shared" si="8"/>
        <v>0</v>
      </c>
      <c r="M174" s="215"/>
      <c r="N174" s="6"/>
    </row>
    <row r="175" spans="1:14" ht="15.75">
      <c r="A175" s="11">
        <f t="shared" si="9"/>
        <v>170</v>
      </c>
      <c r="B175" s="19" t="s">
        <v>716</v>
      </c>
      <c r="C175" s="19" t="s">
        <v>942</v>
      </c>
      <c r="D175" s="19">
        <v>101035</v>
      </c>
      <c r="E175" s="356" t="s">
        <v>717</v>
      </c>
      <c r="F175" s="14">
        <v>52.5</v>
      </c>
      <c r="G175" s="20">
        <v>50</v>
      </c>
      <c r="H175" s="75">
        <v>2.5</v>
      </c>
      <c r="I175" s="14"/>
      <c r="J175" s="18">
        <f t="shared" si="10"/>
        <v>52.5</v>
      </c>
      <c r="K175" s="32"/>
      <c r="L175" s="33">
        <f t="shared" si="8"/>
        <v>0</v>
      </c>
      <c r="M175" s="215"/>
      <c r="N175" s="6"/>
    </row>
    <row r="176" spans="1:14" ht="15.75">
      <c r="A176" s="11">
        <f t="shared" si="9"/>
        <v>171</v>
      </c>
      <c r="B176" s="19" t="s">
        <v>718</v>
      </c>
      <c r="C176" s="19" t="s">
        <v>942</v>
      </c>
      <c r="D176" s="19">
        <v>101071</v>
      </c>
      <c r="E176" s="356" t="s">
        <v>163</v>
      </c>
      <c r="F176" s="14">
        <v>52.5</v>
      </c>
      <c r="G176" s="20">
        <v>50</v>
      </c>
      <c r="H176" s="21">
        <v>2.5</v>
      </c>
      <c r="I176" s="14"/>
      <c r="J176" s="18">
        <f t="shared" si="10"/>
        <v>52.5</v>
      </c>
      <c r="K176" s="32"/>
      <c r="L176" s="33">
        <f t="shared" si="8"/>
        <v>0</v>
      </c>
      <c r="M176" s="215"/>
      <c r="N176" s="6"/>
    </row>
    <row r="177" spans="1:14" ht="15.75">
      <c r="A177" s="11">
        <f t="shared" si="9"/>
        <v>172</v>
      </c>
      <c r="B177" s="19" t="s">
        <v>719</v>
      </c>
      <c r="C177" s="19" t="s">
        <v>942</v>
      </c>
      <c r="D177" s="19">
        <v>101090</v>
      </c>
      <c r="E177" s="356" t="s">
        <v>177</v>
      </c>
      <c r="F177" s="14">
        <v>52.5</v>
      </c>
      <c r="G177" s="20">
        <v>50</v>
      </c>
      <c r="H177" s="21">
        <v>2.5</v>
      </c>
      <c r="I177" s="14"/>
      <c r="J177" s="18">
        <f t="shared" si="10"/>
        <v>52.5</v>
      </c>
      <c r="K177" s="32"/>
      <c r="L177" s="33">
        <f t="shared" si="8"/>
        <v>0</v>
      </c>
      <c r="M177" s="215"/>
      <c r="N177" s="40"/>
    </row>
    <row r="178" spans="1:14" ht="15.75">
      <c r="A178" s="11">
        <f t="shared" si="9"/>
        <v>173</v>
      </c>
      <c r="B178" s="30" t="s">
        <v>720</v>
      </c>
      <c r="C178" s="19" t="s">
        <v>942</v>
      </c>
      <c r="D178" s="19">
        <v>101171</v>
      </c>
      <c r="E178" s="356" t="s">
        <v>161</v>
      </c>
      <c r="F178" s="14">
        <v>52.5</v>
      </c>
      <c r="G178" s="20">
        <v>50</v>
      </c>
      <c r="H178" s="21">
        <v>2.5</v>
      </c>
      <c r="I178" s="14"/>
      <c r="J178" s="18">
        <f t="shared" si="10"/>
        <v>52.5</v>
      </c>
      <c r="K178" s="32"/>
      <c r="L178" s="33">
        <f t="shared" si="8"/>
        <v>0</v>
      </c>
      <c r="M178" s="215"/>
      <c r="N178" s="40"/>
    </row>
    <row r="179" spans="1:14" ht="15.75">
      <c r="A179" s="11">
        <f t="shared" si="9"/>
        <v>174</v>
      </c>
      <c r="B179" s="19" t="s">
        <v>721</v>
      </c>
      <c r="C179" s="19" t="s">
        <v>942</v>
      </c>
      <c r="D179" s="19">
        <v>101273</v>
      </c>
      <c r="E179" s="356" t="s">
        <v>722</v>
      </c>
      <c r="F179" s="14">
        <v>52.5</v>
      </c>
      <c r="G179" s="74">
        <v>50</v>
      </c>
      <c r="H179" s="21">
        <v>2.5</v>
      </c>
      <c r="I179" s="14"/>
      <c r="J179" s="18">
        <f t="shared" si="10"/>
        <v>52.5</v>
      </c>
      <c r="K179" s="32"/>
      <c r="L179" s="33">
        <f t="shared" si="8"/>
        <v>0</v>
      </c>
      <c r="M179" s="215"/>
      <c r="N179" s="58"/>
    </row>
    <row r="180" spans="1:14" ht="15.75">
      <c r="A180" s="11">
        <f t="shared" si="9"/>
        <v>175</v>
      </c>
      <c r="B180" s="19" t="s">
        <v>723</v>
      </c>
      <c r="C180" s="19" t="s">
        <v>942</v>
      </c>
      <c r="D180" s="19">
        <v>101698</v>
      </c>
      <c r="E180" s="356" t="s">
        <v>724</v>
      </c>
      <c r="F180" s="14">
        <v>52.5</v>
      </c>
      <c r="G180" s="20">
        <v>50</v>
      </c>
      <c r="H180" s="21">
        <v>2.5</v>
      </c>
      <c r="I180" s="14"/>
      <c r="J180" s="18">
        <f t="shared" si="10"/>
        <v>52.5</v>
      </c>
      <c r="K180" s="32"/>
      <c r="L180" s="33">
        <f t="shared" si="8"/>
        <v>0</v>
      </c>
      <c r="M180" s="215"/>
      <c r="N180" s="59" t="s">
        <v>525</v>
      </c>
    </row>
    <row r="181" spans="1:14" ht="15.75">
      <c r="A181" s="11">
        <f t="shared" si="9"/>
        <v>176</v>
      </c>
      <c r="B181" s="19" t="s">
        <v>725</v>
      </c>
      <c r="C181" s="19" t="s">
        <v>942</v>
      </c>
      <c r="D181" s="19">
        <v>101315</v>
      </c>
      <c r="E181" s="355" t="s">
        <v>155</v>
      </c>
      <c r="F181" s="14">
        <v>52.5</v>
      </c>
      <c r="G181" s="74">
        <v>50</v>
      </c>
      <c r="H181" s="21">
        <v>2.5</v>
      </c>
      <c r="I181" s="14"/>
      <c r="J181" s="18">
        <f t="shared" si="10"/>
        <v>52.5</v>
      </c>
      <c r="K181" s="32"/>
      <c r="L181" s="33">
        <f t="shared" si="8"/>
        <v>0</v>
      </c>
      <c r="M181" s="215"/>
      <c r="N181" s="60" t="s">
        <v>79</v>
      </c>
    </row>
    <row r="182" spans="1:14" ht="15.75">
      <c r="A182" s="11">
        <f t="shared" si="9"/>
        <v>177</v>
      </c>
      <c r="B182" s="19" t="s">
        <v>727</v>
      </c>
      <c r="C182" s="211" t="s">
        <v>942</v>
      </c>
      <c r="D182" s="211">
        <v>101601</v>
      </c>
      <c r="E182" s="356" t="s">
        <v>967</v>
      </c>
      <c r="F182" s="14">
        <v>52.5</v>
      </c>
      <c r="G182" s="74">
        <v>50</v>
      </c>
      <c r="H182" s="21">
        <v>2.5</v>
      </c>
      <c r="I182" s="14"/>
      <c r="J182" s="18">
        <f t="shared" si="10"/>
        <v>52.5</v>
      </c>
      <c r="K182" s="32"/>
      <c r="L182" s="33">
        <f t="shared" si="8"/>
        <v>0</v>
      </c>
      <c r="M182" s="215"/>
      <c r="N182" s="40"/>
    </row>
    <row r="183" spans="1:14" ht="15.75">
      <c r="A183" s="11">
        <f t="shared" si="9"/>
        <v>178</v>
      </c>
      <c r="B183" s="19" t="s">
        <v>729</v>
      </c>
      <c r="C183" s="19" t="s">
        <v>942</v>
      </c>
      <c r="D183" s="19">
        <v>101335</v>
      </c>
      <c r="E183" s="356" t="s">
        <v>173</v>
      </c>
      <c r="F183" s="14">
        <v>52.5</v>
      </c>
      <c r="G183" s="20">
        <v>50</v>
      </c>
      <c r="H183" s="21">
        <v>2.5</v>
      </c>
      <c r="I183" s="14"/>
      <c r="J183" s="18">
        <f t="shared" si="10"/>
        <v>52.5</v>
      </c>
      <c r="K183" s="32"/>
      <c r="L183" s="33">
        <f t="shared" si="8"/>
        <v>0</v>
      </c>
      <c r="M183" s="215"/>
      <c r="N183" s="40"/>
    </row>
    <row r="184" spans="1:14" ht="15.75">
      <c r="A184" s="11">
        <f t="shared" si="9"/>
        <v>179</v>
      </c>
      <c r="B184" s="19" t="s">
        <v>730</v>
      </c>
      <c r="C184" s="19" t="s">
        <v>942</v>
      </c>
      <c r="D184" s="19">
        <v>101413</v>
      </c>
      <c r="E184" s="356" t="s">
        <v>159</v>
      </c>
      <c r="F184" s="14">
        <v>52.5</v>
      </c>
      <c r="G184" s="20">
        <v>50</v>
      </c>
      <c r="H184" s="21">
        <v>2.5</v>
      </c>
      <c r="I184" s="14"/>
      <c r="J184" s="18">
        <f t="shared" si="10"/>
        <v>52.5</v>
      </c>
      <c r="K184" s="32"/>
      <c r="L184" s="33">
        <f t="shared" si="8"/>
        <v>0</v>
      </c>
      <c r="M184" s="215"/>
      <c r="N184" s="40"/>
    </row>
    <row r="185" spans="1:14" ht="15.75">
      <c r="A185" s="11">
        <f t="shared" si="9"/>
        <v>180</v>
      </c>
      <c r="B185" s="19" t="s">
        <v>918</v>
      </c>
      <c r="C185" s="19" t="s">
        <v>942</v>
      </c>
      <c r="D185" s="19">
        <v>101882</v>
      </c>
      <c r="E185" s="356" t="s">
        <v>968</v>
      </c>
      <c r="F185" s="14">
        <v>52.5</v>
      </c>
      <c r="G185" s="74">
        <v>50</v>
      </c>
      <c r="H185" s="54">
        <v>2.5</v>
      </c>
      <c r="I185" s="14"/>
      <c r="J185" s="18">
        <f t="shared" si="10"/>
        <v>52.5</v>
      </c>
      <c r="K185" s="32"/>
      <c r="L185" s="33">
        <f>+(F185-((SUM(J185+K185))))</f>
        <v>0</v>
      </c>
      <c r="M185" s="215"/>
      <c r="N185" s="40"/>
    </row>
    <row r="186" spans="1:14" ht="15.75">
      <c r="A186" s="11">
        <f t="shared" si="9"/>
        <v>181</v>
      </c>
      <c r="B186" s="19" t="s">
        <v>731</v>
      </c>
      <c r="C186" s="211" t="s">
        <v>942</v>
      </c>
      <c r="D186" s="211">
        <v>101903</v>
      </c>
      <c r="E186" s="356" t="s">
        <v>732</v>
      </c>
      <c r="F186" s="14">
        <v>52.5</v>
      </c>
      <c r="G186" s="74">
        <v>50</v>
      </c>
      <c r="H186" s="21">
        <v>2.5</v>
      </c>
      <c r="I186" s="14"/>
      <c r="J186" s="18">
        <f t="shared" si="10"/>
        <v>52.5</v>
      </c>
      <c r="K186" s="32"/>
      <c r="L186" s="33">
        <f t="shared" si="8"/>
        <v>0</v>
      </c>
      <c r="M186" s="215"/>
      <c r="N186" s="195"/>
    </row>
    <row r="187" spans="1:14" ht="15.75">
      <c r="A187" s="11">
        <f t="shared" si="9"/>
        <v>182</v>
      </c>
      <c r="B187" s="19" t="s">
        <v>920</v>
      </c>
      <c r="C187" s="19" t="s">
        <v>942</v>
      </c>
      <c r="D187" s="19">
        <v>101881</v>
      </c>
      <c r="E187" s="356" t="s">
        <v>969</v>
      </c>
      <c r="F187" s="14">
        <v>52.5</v>
      </c>
      <c r="G187" s="74">
        <v>50</v>
      </c>
      <c r="H187" s="54">
        <v>2.5</v>
      </c>
      <c r="I187" s="14"/>
      <c r="J187" s="18">
        <f t="shared" si="10"/>
        <v>52.5</v>
      </c>
      <c r="K187" s="32"/>
      <c r="L187" s="33">
        <f>+(F187-((SUM(J187+K187))))</f>
        <v>0</v>
      </c>
      <c r="M187" s="37"/>
      <c r="N187" s="194"/>
    </row>
    <row r="188" spans="1:14" ht="15.75">
      <c r="A188" s="11">
        <f t="shared" si="9"/>
        <v>183</v>
      </c>
      <c r="B188" s="19" t="s">
        <v>733</v>
      </c>
      <c r="C188" s="19" t="s">
        <v>942</v>
      </c>
      <c r="D188" s="19">
        <v>101505</v>
      </c>
      <c r="E188" s="356" t="s">
        <v>734</v>
      </c>
      <c r="F188" s="14">
        <v>52.5</v>
      </c>
      <c r="G188" s="20">
        <v>50</v>
      </c>
      <c r="H188" s="21">
        <v>2.5</v>
      </c>
      <c r="I188" s="14"/>
      <c r="J188" s="18">
        <f t="shared" si="10"/>
        <v>52.5</v>
      </c>
      <c r="K188" s="32"/>
      <c r="L188" s="33">
        <f t="shared" si="8"/>
        <v>0</v>
      </c>
      <c r="M188" s="215"/>
      <c r="N188" s="6" t="s">
        <v>539</v>
      </c>
    </row>
    <row r="189" spans="1:14" ht="15.75">
      <c r="A189" s="11">
        <f t="shared" si="9"/>
        <v>184</v>
      </c>
      <c r="B189" s="19" t="s">
        <v>735</v>
      </c>
      <c r="C189" s="19" t="s">
        <v>942</v>
      </c>
      <c r="D189" s="19">
        <v>101682</v>
      </c>
      <c r="E189" s="355" t="s">
        <v>736</v>
      </c>
      <c r="F189" s="14">
        <v>52.5</v>
      </c>
      <c r="G189" s="74">
        <v>50</v>
      </c>
      <c r="H189" s="21">
        <v>2.5</v>
      </c>
      <c r="I189" s="14"/>
      <c r="J189" s="18">
        <f t="shared" si="10"/>
        <v>52.5</v>
      </c>
      <c r="K189" s="32"/>
      <c r="L189" s="33">
        <f t="shared" si="8"/>
        <v>0</v>
      </c>
      <c r="M189" s="215"/>
      <c r="N189" s="6" t="s">
        <v>542</v>
      </c>
    </row>
    <row r="190" spans="1:14" ht="15.75">
      <c r="A190" s="11">
        <f t="shared" si="9"/>
        <v>185</v>
      </c>
      <c r="B190" s="30" t="s">
        <v>401</v>
      </c>
      <c r="C190" s="19" t="s">
        <v>942</v>
      </c>
      <c r="D190" s="19">
        <v>101907</v>
      </c>
      <c r="E190" s="315" t="s">
        <v>970</v>
      </c>
      <c r="F190" s="14">
        <v>52.5</v>
      </c>
      <c r="G190" s="74">
        <v>50</v>
      </c>
      <c r="H190" s="75">
        <v>2.5</v>
      </c>
      <c r="I190" s="14"/>
      <c r="J190" s="18">
        <f t="shared" si="10"/>
        <v>52.5</v>
      </c>
      <c r="K190" s="35"/>
      <c r="L190" s="33">
        <f t="shared" si="8"/>
        <v>0</v>
      </c>
      <c r="M190" s="215"/>
      <c r="N190" s="40"/>
    </row>
    <row r="191" spans="1:14" ht="15.75">
      <c r="A191" s="11">
        <f t="shared" si="9"/>
        <v>186</v>
      </c>
      <c r="B191" s="19" t="s">
        <v>740</v>
      </c>
      <c r="C191" s="19" t="s">
        <v>942</v>
      </c>
      <c r="D191" s="19">
        <v>101523</v>
      </c>
      <c r="E191" s="362" t="s">
        <v>741</v>
      </c>
      <c r="F191" s="14">
        <v>52.5</v>
      </c>
      <c r="G191" s="74">
        <v>50</v>
      </c>
      <c r="H191" s="75">
        <v>2.5</v>
      </c>
      <c r="I191" s="14"/>
      <c r="J191" s="18">
        <f t="shared" si="10"/>
        <v>52.5</v>
      </c>
      <c r="K191" s="32"/>
      <c r="L191" s="33">
        <f t="shared" si="8"/>
        <v>0</v>
      </c>
      <c r="M191" s="215"/>
      <c r="N191" s="40"/>
    </row>
    <row r="192" spans="1:14" ht="15.75">
      <c r="A192" s="11">
        <f t="shared" si="9"/>
        <v>187</v>
      </c>
      <c r="B192" s="19" t="s">
        <v>742</v>
      </c>
      <c r="C192" s="19" t="s">
        <v>942</v>
      </c>
      <c r="D192" s="19">
        <v>101818</v>
      </c>
      <c r="E192" s="356" t="s">
        <v>743</v>
      </c>
      <c r="F192" s="14">
        <v>52.5</v>
      </c>
      <c r="G192" s="74">
        <v>50</v>
      </c>
      <c r="H192" s="54">
        <v>2.5</v>
      </c>
      <c r="I192" s="14"/>
      <c r="J192" s="18">
        <f t="shared" si="10"/>
        <v>52.5</v>
      </c>
      <c r="K192" s="32"/>
      <c r="L192" s="33">
        <f t="shared" si="8"/>
        <v>0</v>
      </c>
      <c r="M192" s="215"/>
      <c r="N192" s="40"/>
    </row>
    <row r="193" spans="1:14" ht="15.75">
      <c r="A193" s="11">
        <f t="shared" si="9"/>
        <v>188</v>
      </c>
      <c r="B193" s="19" t="s">
        <v>17</v>
      </c>
      <c r="C193" s="19" t="s">
        <v>942</v>
      </c>
      <c r="D193" s="19">
        <v>101713</v>
      </c>
      <c r="E193" s="361" t="s">
        <v>860</v>
      </c>
      <c r="F193" s="14">
        <v>52.5</v>
      </c>
      <c r="G193" s="20">
        <v>50</v>
      </c>
      <c r="H193" s="21">
        <v>2.5</v>
      </c>
      <c r="I193" s="14"/>
      <c r="J193" s="18">
        <f>SUM(G193+H193+I193)</f>
        <v>52.5</v>
      </c>
      <c r="K193" s="32"/>
      <c r="L193" s="33">
        <f>+(F193-((SUM(J193+K193))))</f>
        <v>0</v>
      </c>
      <c r="M193" s="37"/>
      <c r="N193" s="6"/>
    </row>
    <row r="194" spans="1:14" ht="15.75">
      <c r="A194" s="11">
        <f t="shared" si="9"/>
        <v>189</v>
      </c>
      <c r="B194" s="19" t="s">
        <v>744</v>
      </c>
      <c r="C194" s="19" t="s">
        <v>942</v>
      </c>
      <c r="D194" s="19">
        <v>101819</v>
      </c>
      <c r="E194" s="356" t="s">
        <v>745</v>
      </c>
      <c r="F194" s="14">
        <v>105</v>
      </c>
      <c r="G194" s="74">
        <v>100</v>
      </c>
      <c r="H194" s="54">
        <v>5</v>
      </c>
      <c r="I194" s="14"/>
      <c r="J194" s="18">
        <f t="shared" si="10"/>
        <v>105</v>
      </c>
      <c r="K194" s="32"/>
      <c r="L194" s="33">
        <f t="shared" si="8"/>
        <v>0</v>
      </c>
      <c r="M194" s="215"/>
      <c r="N194" s="40"/>
    </row>
    <row r="195" spans="1:14" ht="15.75">
      <c r="A195" s="11">
        <f t="shared" si="9"/>
        <v>190</v>
      </c>
      <c r="B195" s="386" t="s">
        <v>746</v>
      </c>
      <c r="C195" s="386" t="s">
        <v>942</v>
      </c>
      <c r="D195" s="386">
        <v>105373</v>
      </c>
      <c r="E195" s="389" t="s">
        <v>1043</v>
      </c>
      <c r="F195" s="14">
        <v>105</v>
      </c>
      <c r="G195" s="74">
        <v>100</v>
      </c>
      <c r="H195" s="54">
        <v>5</v>
      </c>
      <c r="I195" s="14"/>
      <c r="J195" s="18">
        <f t="shared" si="10"/>
        <v>105</v>
      </c>
      <c r="K195" s="32"/>
      <c r="L195" s="33">
        <f t="shared" si="8"/>
        <v>0</v>
      </c>
      <c r="M195" s="215"/>
      <c r="N195" s="195"/>
    </row>
    <row r="196" spans="1:14" ht="15.75">
      <c r="A196" s="11">
        <f t="shared" si="9"/>
        <v>191</v>
      </c>
      <c r="B196" s="19" t="s">
        <v>748</v>
      </c>
      <c r="C196" s="19"/>
      <c r="D196" s="19"/>
      <c r="E196" s="355" t="s">
        <v>749</v>
      </c>
      <c r="F196" s="14">
        <v>52.5</v>
      </c>
      <c r="G196" s="74">
        <v>50</v>
      </c>
      <c r="H196" s="75">
        <v>2.5</v>
      </c>
      <c r="I196" s="14"/>
      <c r="J196" s="18">
        <f t="shared" si="10"/>
        <v>52.5</v>
      </c>
      <c r="K196" s="179"/>
      <c r="L196" s="33">
        <f t="shared" si="8"/>
        <v>0</v>
      </c>
      <c r="M196" s="217"/>
      <c r="N196" s="194"/>
    </row>
    <row r="197" spans="1:14" ht="15.75">
      <c r="A197" s="11">
        <f t="shared" si="9"/>
        <v>192</v>
      </c>
      <c r="B197" s="19" t="s">
        <v>750</v>
      </c>
      <c r="C197" s="19"/>
      <c r="D197" s="19"/>
      <c r="E197" s="355" t="s">
        <v>751</v>
      </c>
      <c r="F197" s="14">
        <v>341.25</v>
      </c>
      <c r="G197" s="74">
        <v>325</v>
      </c>
      <c r="H197" s="75">
        <v>16.25</v>
      </c>
      <c r="I197" s="14"/>
      <c r="J197" s="18">
        <f t="shared" si="10"/>
        <v>341.25</v>
      </c>
      <c r="K197" s="32"/>
      <c r="L197" s="33">
        <f t="shared" si="8"/>
        <v>0</v>
      </c>
      <c r="M197" s="215"/>
      <c r="N197" s="6" t="s">
        <v>557</v>
      </c>
    </row>
    <row r="198" spans="1:14" ht="15.75">
      <c r="A198" s="11">
        <f t="shared" si="9"/>
        <v>193</v>
      </c>
      <c r="B198" s="19" t="s">
        <v>3</v>
      </c>
      <c r="C198" s="19"/>
      <c r="D198" s="19"/>
      <c r="E198" s="355" t="s">
        <v>752</v>
      </c>
      <c r="F198" s="14">
        <v>446.25</v>
      </c>
      <c r="G198" s="74">
        <v>425</v>
      </c>
      <c r="H198" s="75">
        <v>21.25</v>
      </c>
      <c r="I198" s="14"/>
      <c r="J198" s="18">
        <f t="shared" si="10"/>
        <v>446.25</v>
      </c>
      <c r="K198" s="32"/>
      <c r="L198" s="36">
        <f t="shared" si="8"/>
        <v>0</v>
      </c>
      <c r="M198" s="215"/>
      <c r="N198" s="6" t="s">
        <v>559</v>
      </c>
    </row>
    <row r="199" spans="1:14" ht="15.75">
      <c r="A199" s="11">
        <f t="shared" si="9"/>
        <v>194</v>
      </c>
      <c r="B199" s="19" t="s">
        <v>753</v>
      </c>
      <c r="C199" s="19"/>
      <c r="D199" s="19"/>
      <c r="E199" s="355" t="s">
        <v>754</v>
      </c>
      <c r="F199" s="14">
        <v>105</v>
      </c>
      <c r="G199" s="74">
        <v>100</v>
      </c>
      <c r="H199" s="75">
        <v>5</v>
      </c>
      <c r="I199" s="14"/>
      <c r="J199" s="18">
        <f t="shared" si="10"/>
        <v>105</v>
      </c>
      <c r="K199" s="32"/>
      <c r="L199" s="33">
        <f t="shared" si="8"/>
        <v>0</v>
      </c>
      <c r="M199" s="215"/>
      <c r="N199" s="6"/>
    </row>
    <row r="200" spans="1:14" ht="15.75">
      <c r="A200" s="11">
        <f t="shared" ref="A200:A252" si="11">1+A199</f>
        <v>195</v>
      </c>
      <c r="B200" s="19" t="s">
        <v>755</v>
      </c>
      <c r="C200" s="19"/>
      <c r="D200" s="19"/>
      <c r="E200" s="355" t="s">
        <v>756</v>
      </c>
      <c r="F200" s="14">
        <v>105</v>
      </c>
      <c r="G200" s="74">
        <v>100</v>
      </c>
      <c r="H200" s="75">
        <v>5</v>
      </c>
      <c r="I200" s="14"/>
      <c r="J200" s="18">
        <f t="shared" si="10"/>
        <v>105</v>
      </c>
      <c r="K200" s="32"/>
      <c r="L200" s="33">
        <f t="shared" si="8"/>
        <v>0</v>
      </c>
      <c r="M200" s="215"/>
    </row>
    <row r="201" spans="1:14" ht="15.75">
      <c r="A201" s="11">
        <f t="shared" si="11"/>
        <v>196</v>
      </c>
      <c r="B201" s="19" t="s">
        <v>757</v>
      </c>
      <c r="C201" s="19"/>
      <c r="D201" s="19"/>
      <c r="E201" s="356" t="s">
        <v>758</v>
      </c>
      <c r="F201" s="14">
        <v>52.5</v>
      </c>
      <c r="G201" s="74">
        <v>50</v>
      </c>
      <c r="H201" s="54">
        <v>2.5</v>
      </c>
      <c r="I201" s="14"/>
      <c r="J201" s="18">
        <f t="shared" si="10"/>
        <v>52.5</v>
      </c>
      <c r="K201" s="32"/>
      <c r="L201" s="33">
        <f t="shared" si="8"/>
        <v>0</v>
      </c>
      <c r="M201" s="215"/>
    </row>
    <row r="202" spans="1:14" ht="15.75">
      <c r="A202" s="11">
        <f t="shared" si="11"/>
        <v>197</v>
      </c>
      <c r="B202" s="19" t="s">
        <v>759</v>
      </c>
      <c r="C202" s="19"/>
      <c r="D202" s="19"/>
      <c r="E202" s="356" t="s">
        <v>760</v>
      </c>
      <c r="F202" s="14">
        <v>52.5</v>
      </c>
      <c r="G202" s="74">
        <v>50</v>
      </c>
      <c r="H202" s="381">
        <v>2.5</v>
      </c>
      <c r="I202" s="14"/>
      <c r="J202" s="18">
        <f t="shared" si="10"/>
        <v>52.5</v>
      </c>
      <c r="K202" s="32"/>
      <c r="L202" s="33">
        <f t="shared" si="8"/>
        <v>0</v>
      </c>
      <c r="M202" s="215"/>
    </row>
    <row r="203" spans="1:14" ht="15.75">
      <c r="A203" s="11">
        <f t="shared" si="11"/>
        <v>198</v>
      </c>
      <c r="B203" s="19" t="s">
        <v>761</v>
      </c>
      <c r="C203" s="19"/>
      <c r="D203" s="19"/>
      <c r="E203" s="356" t="s">
        <v>762</v>
      </c>
      <c r="F203" s="14">
        <v>52.5</v>
      </c>
      <c r="G203" s="74">
        <v>50</v>
      </c>
      <c r="H203" s="381">
        <v>2.5</v>
      </c>
      <c r="I203" s="14"/>
      <c r="J203" s="18">
        <f t="shared" si="10"/>
        <v>52.5</v>
      </c>
      <c r="K203" s="32"/>
      <c r="L203" s="33">
        <f t="shared" si="8"/>
        <v>0</v>
      </c>
      <c r="M203" s="215"/>
    </row>
    <row r="204" spans="1:14" ht="15.75">
      <c r="A204" s="11">
        <f t="shared" si="11"/>
        <v>199</v>
      </c>
      <c r="B204" s="387" t="s">
        <v>1009</v>
      </c>
      <c r="C204" s="386" t="s">
        <v>942</v>
      </c>
      <c r="D204" s="386">
        <v>105498</v>
      </c>
      <c r="E204" s="388" t="s">
        <v>1086</v>
      </c>
      <c r="F204" s="372">
        <v>150.5</v>
      </c>
      <c r="G204" s="74">
        <v>143.33000000000001</v>
      </c>
      <c r="H204" s="376">
        <v>7.17</v>
      </c>
      <c r="I204" s="14"/>
      <c r="J204" s="18">
        <f t="shared" si="10"/>
        <v>150.5</v>
      </c>
      <c r="K204" s="32"/>
      <c r="L204" s="33">
        <f t="shared" si="8"/>
        <v>0</v>
      </c>
      <c r="M204" s="215"/>
    </row>
    <row r="205" spans="1:14" ht="15.75">
      <c r="A205" s="11">
        <f t="shared" si="11"/>
        <v>200</v>
      </c>
      <c r="B205" s="387" t="s">
        <v>1009</v>
      </c>
      <c r="C205" s="386" t="s">
        <v>942</v>
      </c>
      <c r="D205" s="386">
        <v>105498</v>
      </c>
      <c r="E205" s="388" t="s">
        <v>1041</v>
      </c>
      <c r="F205" s="281">
        <v>105</v>
      </c>
      <c r="G205" s="274">
        <v>100</v>
      </c>
      <c r="H205" s="382">
        <v>5</v>
      </c>
      <c r="I205" s="249"/>
      <c r="J205" s="18">
        <f>SUM(G205+H205+I205)</f>
        <v>105</v>
      </c>
      <c r="K205" s="35"/>
      <c r="L205" s="33">
        <f t="shared" ref="L205" si="12">+(F205-((SUM(J205+K205))))</f>
        <v>0</v>
      </c>
      <c r="M205" s="215"/>
      <c r="N205" s="195"/>
    </row>
    <row r="206" spans="1:14" ht="15.75">
      <c r="A206" s="11">
        <f t="shared" si="11"/>
        <v>201</v>
      </c>
      <c r="B206" s="19" t="s">
        <v>396</v>
      </c>
      <c r="C206" s="19" t="s">
        <v>942</v>
      </c>
      <c r="D206" s="19">
        <v>101573</v>
      </c>
      <c r="E206" s="356" t="s">
        <v>397</v>
      </c>
      <c r="F206" s="14">
        <v>105</v>
      </c>
      <c r="G206" s="74">
        <v>100</v>
      </c>
      <c r="H206" s="383">
        <v>5</v>
      </c>
      <c r="I206" s="14"/>
      <c r="J206" s="18">
        <f t="shared" si="10"/>
        <v>105</v>
      </c>
      <c r="K206" s="32"/>
      <c r="L206" s="33">
        <f>+(F206-((SUM(J206+K206))))</f>
        <v>0</v>
      </c>
      <c r="M206" s="42"/>
    </row>
    <row r="207" spans="1:14" ht="15.75">
      <c r="A207" s="11">
        <f t="shared" si="11"/>
        <v>202</v>
      </c>
      <c r="B207" s="19" t="s">
        <v>763</v>
      </c>
      <c r="C207" s="19" t="s">
        <v>942</v>
      </c>
      <c r="D207" s="19">
        <v>101229</v>
      </c>
      <c r="E207" s="356" t="s">
        <v>764</v>
      </c>
      <c r="F207" s="14">
        <v>352.5</v>
      </c>
      <c r="G207" s="53">
        <v>50</v>
      </c>
      <c r="H207" s="381">
        <v>2.5</v>
      </c>
      <c r="I207" s="248">
        <v>300</v>
      </c>
      <c r="J207" s="18">
        <f t="shared" si="10"/>
        <v>352.5</v>
      </c>
      <c r="K207" s="32"/>
      <c r="L207" s="33">
        <f t="shared" ref="L207:L230" si="13">+(F207-((SUM(J207+K207))))</f>
        <v>0</v>
      </c>
      <c r="M207" s="215" t="s">
        <v>1087</v>
      </c>
    </row>
    <row r="208" spans="1:14" ht="15.75">
      <c r="A208" s="11">
        <f t="shared" si="11"/>
        <v>203</v>
      </c>
      <c r="B208" s="19" t="s">
        <v>765</v>
      </c>
      <c r="C208" s="19" t="s">
        <v>942</v>
      </c>
      <c r="D208" s="19">
        <v>101286</v>
      </c>
      <c r="E208" s="356" t="s">
        <v>766</v>
      </c>
      <c r="F208" s="14">
        <v>52.5</v>
      </c>
      <c r="G208" s="53">
        <v>50</v>
      </c>
      <c r="H208" s="381">
        <v>2.5</v>
      </c>
      <c r="I208" s="248"/>
      <c r="J208" s="18">
        <f t="shared" si="10"/>
        <v>52.5</v>
      </c>
      <c r="K208" s="32"/>
      <c r="L208" s="33">
        <f t="shared" si="13"/>
        <v>0</v>
      </c>
      <c r="M208" s="215"/>
    </row>
    <row r="209" spans="1:13" ht="15.75">
      <c r="A209" s="11">
        <f t="shared" si="11"/>
        <v>204</v>
      </c>
      <c r="B209" s="116" t="s">
        <v>767</v>
      </c>
      <c r="C209" s="19" t="s">
        <v>942</v>
      </c>
      <c r="D209" s="19">
        <v>101858</v>
      </c>
      <c r="E209" s="356" t="s">
        <v>768</v>
      </c>
      <c r="F209" s="14">
        <v>52.5</v>
      </c>
      <c r="G209" s="74">
        <v>50</v>
      </c>
      <c r="H209" s="381">
        <v>2.5</v>
      </c>
      <c r="I209" s="14"/>
      <c r="J209" s="18">
        <f t="shared" si="10"/>
        <v>52.5</v>
      </c>
      <c r="K209" s="32"/>
      <c r="L209" s="33">
        <f t="shared" si="13"/>
        <v>0</v>
      </c>
      <c r="M209" s="215"/>
    </row>
    <row r="210" spans="1:13" ht="15.75">
      <c r="A210" s="11">
        <f t="shared" si="11"/>
        <v>205</v>
      </c>
      <c r="B210" s="19" t="s">
        <v>769</v>
      </c>
      <c r="C210" s="19" t="s">
        <v>942</v>
      </c>
      <c r="D210" s="19">
        <v>101060</v>
      </c>
      <c r="E210" s="356" t="s">
        <v>770</v>
      </c>
      <c r="F210" s="14">
        <v>52.5</v>
      </c>
      <c r="G210" s="74">
        <v>50</v>
      </c>
      <c r="H210" s="383">
        <v>2.5</v>
      </c>
      <c r="I210" s="14"/>
      <c r="J210" s="18">
        <f t="shared" si="10"/>
        <v>52.5</v>
      </c>
      <c r="K210" s="32"/>
      <c r="L210" s="33">
        <f t="shared" si="13"/>
        <v>0</v>
      </c>
      <c r="M210" s="215"/>
    </row>
    <row r="211" spans="1:13" ht="15.75">
      <c r="A211" s="11">
        <f t="shared" si="11"/>
        <v>206</v>
      </c>
      <c r="B211" s="19" t="s">
        <v>771</v>
      </c>
      <c r="C211" s="19" t="s">
        <v>942</v>
      </c>
      <c r="D211" s="19">
        <v>101702</v>
      </c>
      <c r="E211" s="355" t="s">
        <v>772</v>
      </c>
      <c r="F211" s="14">
        <v>52.5</v>
      </c>
      <c r="G211" s="74">
        <v>50</v>
      </c>
      <c r="H211" s="21">
        <v>2.5</v>
      </c>
      <c r="I211" s="14"/>
      <c r="J211" s="18">
        <f t="shared" si="10"/>
        <v>52.5</v>
      </c>
      <c r="K211" s="32"/>
      <c r="L211" s="33">
        <f t="shared" si="13"/>
        <v>0</v>
      </c>
      <c r="M211" s="215"/>
    </row>
    <row r="212" spans="1:13" ht="15.75">
      <c r="A212" s="11">
        <f t="shared" si="11"/>
        <v>207</v>
      </c>
      <c r="B212" s="301" t="s">
        <v>1049</v>
      </c>
      <c r="C212" s="197" t="s">
        <v>942</v>
      </c>
      <c r="D212" s="197">
        <v>105362</v>
      </c>
      <c r="E212" s="356" t="s">
        <v>1020</v>
      </c>
      <c r="F212" s="14">
        <v>52.5</v>
      </c>
      <c r="G212" s="238">
        <v>50</v>
      </c>
      <c r="H212" s="131">
        <v>2.5</v>
      </c>
      <c r="I212" s="14"/>
      <c r="J212" s="18">
        <f>SUM(G212+H212+I212)</f>
        <v>52.5</v>
      </c>
      <c r="K212" s="32"/>
      <c r="L212" s="33">
        <f>+(F212-((SUM(J212+K212))))</f>
        <v>0</v>
      </c>
      <c r="M212" s="215"/>
    </row>
    <row r="213" spans="1:13" ht="15.75">
      <c r="A213" s="11">
        <f t="shared" si="11"/>
        <v>208</v>
      </c>
      <c r="B213" s="19" t="s">
        <v>773</v>
      </c>
      <c r="C213" s="19" t="s">
        <v>942</v>
      </c>
      <c r="D213" s="19">
        <v>101092</v>
      </c>
      <c r="E213" s="355" t="s">
        <v>774</v>
      </c>
      <c r="F213" s="14">
        <v>52.5</v>
      </c>
      <c r="G213" s="74">
        <v>50</v>
      </c>
      <c r="H213" s="21">
        <v>2.5</v>
      </c>
      <c r="I213" s="14"/>
      <c r="J213" s="18">
        <f t="shared" si="10"/>
        <v>52.5</v>
      </c>
      <c r="K213" s="32"/>
      <c r="L213" s="33">
        <f t="shared" si="13"/>
        <v>0</v>
      </c>
      <c r="M213" s="215"/>
    </row>
    <row r="214" spans="1:13" ht="15.75">
      <c r="A214" s="11">
        <f t="shared" si="11"/>
        <v>209</v>
      </c>
      <c r="B214" s="19" t="s">
        <v>775</v>
      </c>
      <c r="C214" s="19" t="s">
        <v>942</v>
      </c>
      <c r="D214" s="262">
        <v>105278</v>
      </c>
      <c r="E214" s="356" t="s">
        <v>971</v>
      </c>
      <c r="F214" s="14">
        <v>52.5</v>
      </c>
      <c r="G214" s="20">
        <v>50</v>
      </c>
      <c r="H214" s="21">
        <v>2.5</v>
      </c>
      <c r="I214" s="14"/>
      <c r="J214" s="18">
        <f t="shared" si="10"/>
        <v>52.5</v>
      </c>
      <c r="K214" s="32"/>
      <c r="L214" s="33">
        <f t="shared" si="13"/>
        <v>0</v>
      </c>
      <c r="M214" s="215"/>
    </row>
    <row r="215" spans="1:13" ht="15.75">
      <c r="A215" s="11">
        <f t="shared" si="11"/>
        <v>210</v>
      </c>
      <c r="B215" s="19" t="s">
        <v>425</v>
      </c>
      <c r="C215" s="19" t="s">
        <v>942</v>
      </c>
      <c r="D215" s="19">
        <v>101904</v>
      </c>
      <c r="E215" s="356" t="s">
        <v>776</v>
      </c>
      <c r="F215" s="14">
        <v>52.5</v>
      </c>
      <c r="G215" s="74">
        <v>50</v>
      </c>
      <c r="H215" s="75">
        <v>2.5</v>
      </c>
      <c r="I215" s="14"/>
      <c r="J215" s="18">
        <f t="shared" si="10"/>
        <v>52.5</v>
      </c>
      <c r="K215" s="32"/>
      <c r="L215" s="33">
        <f t="shared" si="13"/>
        <v>0</v>
      </c>
      <c r="M215" s="215"/>
    </row>
    <row r="216" spans="1:13" ht="15.75">
      <c r="A216" s="11">
        <f t="shared" si="11"/>
        <v>211</v>
      </c>
      <c r="B216" s="19" t="s">
        <v>777</v>
      </c>
      <c r="C216" s="19" t="s">
        <v>942</v>
      </c>
      <c r="D216" s="19">
        <v>101627</v>
      </c>
      <c r="E216" s="356" t="s">
        <v>778</v>
      </c>
      <c r="F216" s="14">
        <v>52.5</v>
      </c>
      <c r="G216" s="20">
        <v>50</v>
      </c>
      <c r="H216" s="21">
        <v>2.5</v>
      </c>
      <c r="I216" s="248"/>
      <c r="J216" s="18">
        <f t="shared" si="10"/>
        <v>52.5</v>
      </c>
      <c r="K216" s="32"/>
      <c r="L216" s="33">
        <f t="shared" si="13"/>
        <v>0</v>
      </c>
      <c r="M216" s="215"/>
    </row>
    <row r="217" spans="1:13" ht="15.75">
      <c r="A217" s="11">
        <f t="shared" si="11"/>
        <v>212</v>
      </c>
      <c r="B217" s="19" t="s">
        <v>780</v>
      </c>
      <c r="C217" s="19" t="s">
        <v>942</v>
      </c>
      <c r="D217" s="19">
        <v>101083</v>
      </c>
      <c r="E217" s="355" t="s">
        <v>781</v>
      </c>
      <c r="F217" s="14">
        <v>52.5</v>
      </c>
      <c r="G217" s="74">
        <v>50</v>
      </c>
      <c r="H217" s="75">
        <v>2.5</v>
      </c>
      <c r="I217" s="14"/>
      <c r="J217" s="18">
        <f t="shared" si="10"/>
        <v>52.5</v>
      </c>
      <c r="K217" s="32"/>
      <c r="L217" s="33">
        <f t="shared" si="13"/>
        <v>0</v>
      </c>
      <c r="M217" s="215"/>
    </row>
    <row r="218" spans="1:13" ht="15.75">
      <c r="A218" s="11">
        <f t="shared" si="11"/>
        <v>213</v>
      </c>
      <c r="B218" s="19" t="s">
        <v>32</v>
      </c>
      <c r="C218" s="19" t="s">
        <v>942</v>
      </c>
      <c r="D218" s="19">
        <v>101068</v>
      </c>
      <c r="E218" s="361" t="s">
        <v>863</v>
      </c>
      <c r="F218" s="14">
        <v>52.5</v>
      </c>
      <c r="G218" s="20">
        <v>50</v>
      </c>
      <c r="H218" s="21">
        <v>2.5</v>
      </c>
      <c r="I218" s="14"/>
      <c r="J218" s="18">
        <f>SUM(G218+H218+I218)</f>
        <v>52.5</v>
      </c>
      <c r="K218" s="32"/>
      <c r="L218" s="33">
        <f t="shared" si="13"/>
        <v>0</v>
      </c>
      <c r="M218" s="215"/>
    </row>
    <row r="219" spans="1:13" ht="15.75">
      <c r="A219" s="11">
        <f t="shared" si="11"/>
        <v>214</v>
      </c>
      <c r="B219" s="19" t="s">
        <v>782</v>
      </c>
      <c r="C219" s="19" t="s">
        <v>942</v>
      </c>
      <c r="D219" s="19">
        <v>101639</v>
      </c>
      <c r="E219" s="355" t="s">
        <v>278</v>
      </c>
      <c r="F219" s="14">
        <v>105</v>
      </c>
      <c r="G219" s="74">
        <v>100</v>
      </c>
      <c r="H219" s="21">
        <v>5</v>
      </c>
      <c r="I219" s="14"/>
      <c r="J219" s="18">
        <f t="shared" ref="J219:J232" si="14">SUM(G219+H219+I219)</f>
        <v>105</v>
      </c>
      <c r="K219" s="32"/>
      <c r="L219" s="33">
        <f>+(F219-((SUM(J219+K219))))</f>
        <v>0</v>
      </c>
      <c r="M219" s="42"/>
    </row>
    <row r="220" spans="1:13" ht="15.75">
      <c r="A220" s="11">
        <f t="shared" si="11"/>
        <v>215</v>
      </c>
      <c r="B220" s="30" t="s">
        <v>783</v>
      </c>
      <c r="C220" s="19" t="s">
        <v>942</v>
      </c>
      <c r="D220" s="19">
        <v>101862</v>
      </c>
      <c r="E220" s="315" t="s">
        <v>1058</v>
      </c>
      <c r="F220" s="14">
        <v>52.5</v>
      </c>
      <c r="G220" s="74">
        <v>50</v>
      </c>
      <c r="H220" s="75">
        <v>2.5</v>
      </c>
      <c r="I220" s="249"/>
      <c r="J220" s="18">
        <f t="shared" si="14"/>
        <v>52.5</v>
      </c>
      <c r="K220" s="35"/>
      <c r="L220" s="33">
        <f t="shared" si="13"/>
        <v>0</v>
      </c>
      <c r="M220" s="215"/>
    </row>
    <row r="221" spans="1:13" ht="15.75">
      <c r="A221" s="11">
        <f t="shared" si="11"/>
        <v>216</v>
      </c>
      <c r="B221" s="132" t="s">
        <v>1050</v>
      </c>
      <c r="C221" s="197" t="s">
        <v>942</v>
      </c>
      <c r="D221" s="197">
        <v>105554</v>
      </c>
      <c r="E221" s="356" t="s">
        <v>1051</v>
      </c>
      <c r="F221" s="14">
        <v>63.04</v>
      </c>
      <c r="G221" s="238">
        <v>50</v>
      </c>
      <c r="H221" s="131">
        <v>2.5</v>
      </c>
      <c r="I221" s="14">
        <v>10.54</v>
      </c>
      <c r="J221" s="18">
        <f>SUM(G221+H221+I221)</f>
        <v>63.04</v>
      </c>
      <c r="K221" s="32"/>
      <c r="L221" s="33">
        <f>+(F221-((SUM(J221+K221))))</f>
        <v>0</v>
      </c>
      <c r="M221" s="215"/>
    </row>
    <row r="222" spans="1:13" ht="15.75">
      <c r="A222" s="11">
        <f t="shared" si="11"/>
        <v>217</v>
      </c>
      <c r="B222" s="19" t="s">
        <v>14</v>
      </c>
      <c r="C222" s="19" t="s">
        <v>942</v>
      </c>
      <c r="D222" s="19">
        <v>101710</v>
      </c>
      <c r="E222" s="361" t="s">
        <v>787</v>
      </c>
      <c r="F222" s="14">
        <v>52.5</v>
      </c>
      <c r="G222" s="20">
        <v>50</v>
      </c>
      <c r="H222" s="21">
        <v>2.5</v>
      </c>
      <c r="I222" s="14"/>
      <c r="J222" s="18">
        <f t="shared" si="14"/>
        <v>52.5</v>
      </c>
      <c r="K222" s="32"/>
      <c r="L222" s="33">
        <f t="shared" si="13"/>
        <v>0</v>
      </c>
      <c r="M222" s="215"/>
    </row>
    <row r="223" spans="1:13" ht="15.75">
      <c r="A223" s="11">
        <f t="shared" si="11"/>
        <v>218</v>
      </c>
      <c r="B223" s="19" t="s">
        <v>904</v>
      </c>
      <c r="C223" s="19" t="s">
        <v>942</v>
      </c>
      <c r="D223" s="19">
        <v>101901</v>
      </c>
      <c r="E223" s="356" t="s">
        <v>972</v>
      </c>
      <c r="F223" s="14">
        <v>52.5</v>
      </c>
      <c r="G223" s="74">
        <v>50</v>
      </c>
      <c r="H223" s="54">
        <v>2.5</v>
      </c>
      <c r="I223" s="14"/>
      <c r="J223" s="18">
        <f t="shared" si="14"/>
        <v>52.5</v>
      </c>
      <c r="K223" s="32"/>
      <c r="L223" s="33">
        <f t="shared" si="13"/>
        <v>0</v>
      </c>
      <c r="M223" s="215"/>
    </row>
    <row r="224" spans="1:13" ht="15.75">
      <c r="A224" s="11">
        <f t="shared" si="11"/>
        <v>219</v>
      </c>
      <c r="B224" s="19" t="s">
        <v>788</v>
      </c>
      <c r="C224" s="19" t="s">
        <v>942</v>
      </c>
      <c r="D224" s="19">
        <v>101887</v>
      </c>
      <c r="E224" s="356" t="s">
        <v>789</v>
      </c>
      <c r="F224" s="14">
        <v>52.5</v>
      </c>
      <c r="G224" s="74">
        <v>50</v>
      </c>
      <c r="H224" s="54">
        <v>2.5</v>
      </c>
      <c r="I224" s="14"/>
      <c r="J224" s="18">
        <f t="shared" si="14"/>
        <v>52.5</v>
      </c>
      <c r="K224" s="32"/>
      <c r="L224" s="33">
        <f t="shared" si="13"/>
        <v>0</v>
      </c>
      <c r="M224" s="37"/>
    </row>
    <row r="225" spans="1:14" ht="15.75">
      <c r="A225" s="11">
        <f t="shared" si="11"/>
        <v>220</v>
      </c>
      <c r="B225" s="19" t="s">
        <v>20</v>
      </c>
      <c r="C225" s="19" t="s">
        <v>942</v>
      </c>
      <c r="D225" s="19">
        <v>101737</v>
      </c>
      <c r="E225" s="355" t="s">
        <v>790</v>
      </c>
      <c r="F225" s="14">
        <v>52.5</v>
      </c>
      <c r="G225" s="20">
        <v>50</v>
      </c>
      <c r="H225" s="21">
        <v>2.5</v>
      </c>
      <c r="I225" s="14"/>
      <c r="J225" s="18">
        <f t="shared" si="14"/>
        <v>52.5</v>
      </c>
      <c r="K225" s="32"/>
      <c r="L225" s="33">
        <f t="shared" si="13"/>
        <v>0</v>
      </c>
      <c r="M225" s="215"/>
    </row>
    <row r="226" spans="1:14" ht="15.75">
      <c r="A226" s="11">
        <f t="shared" si="11"/>
        <v>221</v>
      </c>
      <c r="B226" s="19" t="s">
        <v>929</v>
      </c>
      <c r="C226" s="19" t="s">
        <v>942</v>
      </c>
      <c r="D226" s="19">
        <v>105221</v>
      </c>
      <c r="E226" s="355" t="s">
        <v>973</v>
      </c>
      <c r="F226" s="14">
        <v>52.5</v>
      </c>
      <c r="G226" s="74">
        <v>50</v>
      </c>
      <c r="H226" s="75">
        <v>2.5</v>
      </c>
      <c r="I226" s="14"/>
      <c r="J226" s="18">
        <f>SUM(G226+H226+I226)</f>
        <v>52.5</v>
      </c>
      <c r="K226" s="32"/>
      <c r="L226" s="33">
        <f>+(F226-((SUM(J226+K226))))</f>
        <v>0</v>
      </c>
      <c r="M226" s="215"/>
    </row>
    <row r="227" spans="1:14" ht="15.75">
      <c r="A227" s="11">
        <f t="shared" si="11"/>
        <v>222</v>
      </c>
      <c r="B227" s="19" t="s">
        <v>791</v>
      </c>
      <c r="C227" s="19"/>
      <c r="D227" s="19"/>
      <c r="E227" s="356" t="s">
        <v>792</v>
      </c>
      <c r="F227" s="14">
        <v>446.25</v>
      </c>
      <c r="G227" s="20">
        <v>425</v>
      </c>
      <c r="H227" s="21">
        <v>21.25</v>
      </c>
      <c r="I227" s="14"/>
      <c r="J227" s="18">
        <f t="shared" si="14"/>
        <v>446.25</v>
      </c>
      <c r="K227" s="32"/>
      <c r="L227" s="33">
        <f t="shared" si="13"/>
        <v>0</v>
      </c>
      <c r="M227" s="215"/>
    </row>
    <row r="228" spans="1:14" ht="15.75">
      <c r="A228" s="11">
        <f t="shared" si="11"/>
        <v>223</v>
      </c>
      <c r="B228" s="55" t="s">
        <v>793</v>
      </c>
      <c r="C228" s="55"/>
      <c r="D228" s="55"/>
      <c r="E228" s="363" t="s">
        <v>794</v>
      </c>
      <c r="F228" s="147">
        <v>446.25</v>
      </c>
      <c r="G228" s="56">
        <v>425</v>
      </c>
      <c r="H228" s="57">
        <v>21.25</v>
      </c>
      <c r="I228" s="147"/>
      <c r="J228" s="18">
        <f t="shared" si="14"/>
        <v>446.25</v>
      </c>
      <c r="K228" s="41"/>
      <c r="L228" s="85">
        <f t="shared" si="13"/>
        <v>0</v>
      </c>
      <c r="M228" s="218"/>
    </row>
    <row r="229" spans="1:14" ht="15.75">
      <c r="A229" s="11">
        <f t="shared" si="11"/>
        <v>224</v>
      </c>
      <c r="B229" s="19" t="s">
        <v>974</v>
      </c>
      <c r="C229" s="19" t="s">
        <v>942</v>
      </c>
      <c r="D229" s="19">
        <v>105183</v>
      </c>
      <c r="E229" s="356" t="s">
        <v>975</v>
      </c>
      <c r="F229" s="14">
        <v>52.5</v>
      </c>
      <c r="G229" s="20">
        <v>50</v>
      </c>
      <c r="H229" s="21">
        <v>2.5</v>
      </c>
      <c r="I229" s="14"/>
      <c r="J229" s="18">
        <f t="shared" si="14"/>
        <v>52.5</v>
      </c>
      <c r="K229" s="32"/>
      <c r="L229" s="85">
        <f t="shared" si="13"/>
        <v>0</v>
      </c>
      <c r="M229" s="218"/>
    </row>
    <row r="230" spans="1:14" ht="15.75">
      <c r="A230" s="11">
        <f t="shared" si="11"/>
        <v>225</v>
      </c>
      <c r="B230" s="55" t="s">
        <v>976</v>
      </c>
      <c r="C230" s="55" t="s">
        <v>942</v>
      </c>
      <c r="D230" s="55">
        <v>105065</v>
      </c>
      <c r="E230" s="356" t="s">
        <v>977</v>
      </c>
      <c r="F230" s="147">
        <v>105</v>
      </c>
      <c r="G230" s="56">
        <v>100</v>
      </c>
      <c r="H230" s="21">
        <v>5</v>
      </c>
      <c r="I230" s="147"/>
      <c r="J230" s="18">
        <f t="shared" si="14"/>
        <v>105</v>
      </c>
      <c r="K230" s="41"/>
      <c r="L230" s="85">
        <f t="shared" si="13"/>
        <v>0</v>
      </c>
      <c r="M230" s="218"/>
    </row>
    <row r="231" spans="1:14" ht="15.75">
      <c r="A231" s="11">
        <f t="shared" si="11"/>
        <v>226</v>
      </c>
      <c r="B231" s="55" t="s">
        <v>978</v>
      </c>
      <c r="C231" s="19" t="s">
        <v>942</v>
      </c>
      <c r="D231" s="19">
        <v>105141</v>
      </c>
      <c r="E231" s="356" t="s">
        <v>979</v>
      </c>
      <c r="F231" s="14">
        <v>52.5</v>
      </c>
      <c r="G231" s="56">
        <v>50</v>
      </c>
      <c r="H231" s="21">
        <v>2.5</v>
      </c>
      <c r="I231" s="147"/>
      <c r="J231" s="18">
        <f t="shared" si="14"/>
        <v>52.5</v>
      </c>
      <c r="K231" s="41"/>
      <c r="L231" s="85">
        <f>+(F231-((SUM(J231+K231))))</f>
        <v>0</v>
      </c>
      <c r="M231" s="37"/>
    </row>
    <row r="232" spans="1:14" ht="15.75">
      <c r="A232" s="11">
        <f t="shared" si="11"/>
        <v>227</v>
      </c>
      <c r="B232" s="243" t="s">
        <v>574</v>
      </c>
      <c r="C232" s="19" t="s">
        <v>942</v>
      </c>
      <c r="D232" s="19">
        <v>105290</v>
      </c>
      <c r="E232" s="356" t="s">
        <v>1040</v>
      </c>
      <c r="F232" s="14">
        <v>52.5</v>
      </c>
      <c r="G232" s="53">
        <v>50</v>
      </c>
      <c r="H232" s="54">
        <v>2.5</v>
      </c>
      <c r="I232" s="14"/>
      <c r="J232" s="18">
        <f t="shared" si="14"/>
        <v>52.5</v>
      </c>
      <c r="K232" s="32"/>
      <c r="L232" s="33">
        <f>+(F232-((SUM(J232+K232))))</f>
        <v>0</v>
      </c>
      <c r="M232" s="215"/>
      <c r="N232" s="6"/>
    </row>
    <row r="233" spans="1:14" ht="15.75">
      <c r="A233" s="11">
        <f t="shared" si="11"/>
        <v>228</v>
      </c>
      <c r="B233" s="19" t="s">
        <v>693</v>
      </c>
      <c r="C233" s="19" t="s">
        <v>942</v>
      </c>
      <c r="D233" s="19">
        <v>105269</v>
      </c>
      <c r="E233" s="355" t="s">
        <v>986</v>
      </c>
      <c r="F233" s="14">
        <v>113.63</v>
      </c>
      <c r="G233" s="74">
        <v>100</v>
      </c>
      <c r="H233" s="75">
        <v>5</v>
      </c>
      <c r="I233" s="14">
        <v>8.6300000000000008</v>
      </c>
      <c r="J233" s="18">
        <f>SUM(G233+H233+I233)</f>
        <v>113.63</v>
      </c>
      <c r="K233" s="32"/>
      <c r="L233" s="33">
        <f>+(F233-((SUM(J233+K233))))</f>
        <v>0</v>
      </c>
      <c r="M233" s="215"/>
      <c r="N233" s="6"/>
    </row>
    <row r="234" spans="1:14" ht="15.75">
      <c r="A234" s="11">
        <f t="shared" si="11"/>
        <v>229</v>
      </c>
      <c r="B234" s="19" t="s">
        <v>987</v>
      </c>
      <c r="C234" s="19" t="s">
        <v>942</v>
      </c>
      <c r="D234" s="19">
        <v>105267</v>
      </c>
      <c r="E234" s="377" t="s">
        <v>988</v>
      </c>
      <c r="F234" s="14">
        <v>151.85</v>
      </c>
      <c r="G234" s="20">
        <v>100</v>
      </c>
      <c r="H234" s="21">
        <v>2.5</v>
      </c>
      <c r="I234" s="14">
        <v>49.35</v>
      </c>
      <c r="J234" s="18">
        <f>SUM(G234+H234+I234)</f>
        <v>151.85</v>
      </c>
      <c r="K234" s="32"/>
      <c r="L234" s="85">
        <f>+(F234-((SUM(J234+K234))))</f>
        <v>0</v>
      </c>
      <c r="M234" s="37" t="s">
        <v>1076</v>
      </c>
      <c r="N234" s="6"/>
    </row>
    <row r="235" spans="1:14" ht="15.75">
      <c r="A235" s="11">
        <f t="shared" si="11"/>
        <v>230</v>
      </c>
      <c r="B235" s="22" t="s">
        <v>779</v>
      </c>
      <c r="C235" s="19" t="s">
        <v>942</v>
      </c>
      <c r="D235" s="19">
        <v>101562</v>
      </c>
      <c r="E235" s="378" t="s">
        <v>989</v>
      </c>
      <c r="F235" s="14">
        <v>52.5</v>
      </c>
      <c r="G235" s="74">
        <v>50</v>
      </c>
      <c r="H235" s="75">
        <v>2.5</v>
      </c>
      <c r="I235" s="249"/>
      <c r="J235" s="18">
        <f>SUM(G235+H235+I235)</f>
        <v>52.5</v>
      </c>
      <c r="K235" s="35"/>
      <c r="L235" s="36">
        <f>+(F235-((SUM(J235+K235))))</f>
        <v>0</v>
      </c>
      <c r="M235" s="215"/>
      <c r="N235" s="6"/>
    </row>
    <row r="236" spans="1:14" ht="15.75">
      <c r="A236" s="11">
        <f t="shared" si="11"/>
        <v>231</v>
      </c>
      <c r="B236" s="55" t="s">
        <v>991</v>
      </c>
      <c r="C236" s="19" t="s">
        <v>942</v>
      </c>
      <c r="D236" s="19">
        <v>105309</v>
      </c>
      <c r="E236" s="377" t="s">
        <v>992</v>
      </c>
      <c r="F236" s="14">
        <v>60.54</v>
      </c>
      <c r="G236" s="74">
        <v>50</v>
      </c>
      <c r="H236" s="75">
        <v>2.5</v>
      </c>
      <c r="I236" s="249">
        <v>4.79</v>
      </c>
      <c r="J236" s="18">
        <f t="shared" ref="J236:J249" si="15">SUM(G236+H236+I236)</f>
        <v>57.29</v>
      </c>
      <c r="K236" s="35">
        <v>3.25</v>
      </c>
      <c r="L236" s="36">
        <f t="shared" ref="L236:L240" si="16">+(F236-((SUM(J236+K236))))</f>
        <v>0</v>
      </c>
      <c r="M236" s="215" t="s">
        <v>1076</v>
      </c>
      <c r="N236" s="6"/>
    </row>
    <row r="237" spans="1:14" ht="15.75">
      <c r="A237" s="11">
        <f t="shared" si="11"/>
        <v>232</v>
      </c>
      <c r="B237" s="280" t="s">
        <v>993</v>
      </c>
      <c r="C237" s="12" t="s">
        <v>942</v>
      </c>
      <c r="D237" s="19">
        <v>105298</v>
      </c>
      <c r="E237" s="378" t="s">
        <v>994</v>
      </c>
      <c r="F237" s="14">
        <v>52.5</v>
      </c>
      <c r="G237" s="74">
        <v>50</v>
      </c>
      <c r="H237" s="75">
        <v>2.5</v>
      </c>
      <c r="I237" s="249"/>
      <c r="J237" s="18">
        <f t="shared" si="15"/>
        <v>52.5</v>
      </c>
      <c r="K237" s="35"/>
      <c r="L237" s="36">
        <f t="shared" si="16"/>
        <v>0</v>
      </c>
      <c r="M237" s="215"/>
      <c r="N237" s="6"/>
    </row>
    <row r="238" spans="1:14" ht="15.75">
      <c r="A238" s="11">
        <f t="shared" si="11"/>
        <v>233</v>
      </c>
      <c r="B238" s="280" t="s">
        <v>995</v>
      </c>
      <c r="C238" s="12" t="s">
        <v>942</v>
      </c>
      <c r="D238" s="19">
        <v>105320</v>
      </c>
      <c r="E238" s="378" t="s">
        <v>996</v>
      </c>
      <c r="F238" s="14">
        <v>52.5</v>
      </c>
      <c r="G238" s="74">
        <v>50</v>
      </c>
      <c r="H238" s="75">
        <v>2.5</v>
      </c>
      <c r="I238" s="249"/>
      <c r="J238" s="18">
        <f t="shared" si="15"/>
        <v>52.5</v>
      </c>
      <c r="K238" s="35"/>
      <c r="L238" s="36">
        <f t="shared" si="16"/>
        <v>0</v>
      </c>
      <c r="M238" s="215"/>
      <c r="N238" s="6"/>
    </row>
    <row r="239" spans="1:14" ht="15.75">
      <c r="A239" s="11">
        <f t="shared" si="11"/>
        <v>234</v>
      </c>
      <c r="B239" s="333" t="s">
        <v>1001</v>
      </c>
      <c r="C239" s="19" t="s">
        <v>942</v>
      </c>
      <c r="D239" s="19">
        <v>105266</v>
      </c>
      <c r="E239" s="384" t="s">
        <v>1002</v>
      </c>
      <c r="F239" s="14">
        <v>105</v>
      </c>
      <c r="G239" s="74">
        <v>100</v>
      </c>
      <c r="H239" s="75">
        <v>5</v>
      </c>
      <c r="I239" s="249"/>
      <c r="J239" s="18">
        <f>SUM(G239+H239+I239)</f>
        <v>105</v>
      </c>
      <c r="K239" s="35"/>
      <c r="L239" s="36">
        <f>+(F239-((SUM(J239+K239))))</f>
        <v>0</v>
      </c>
      <c r="M239" s="215"/>
      <c r="N239" s="6"/>
    </row>
    <row r="240" spans="1:14" ht="15.75">
      <c r="A240" s="11">
        <f t="shared" si="11"/>
        <v>235</v>
      </c>
      <c r="B240" s="333" t="s">
        <v>1005</v>
      </c>
      <c r="C240" s="19" t="s">
        <v>942</v>
      </c>
      <c r="D240" s="19">
        <v>105313</v>
      </c>
      <c r="E240" s="374" t="s">
        <v>1006</v>
      </c>
      <c r="F240" s="14">
        <v>220.29</v>
      </c>
      <c r="G240" s="74">
        <v>100</v>
      </c>
      <c r="H240" s="75">
        <v>5</v>
      </c>
      <c r="I240" s="249">
        <v>115.29</v>
      </c>
      <c r="J240" s="18">
        <f t="shared" si="15"/>
        <v>220.29000000000002</v>
      </c>
      <c r="K240" s="35"/>
      <c r="L240" s="36">
        <f t="shared" si="16"/>
        <v>-2.8421709430404007E-14</v>
      </c>
      <c r="M240" s="215" t="s">
        <v>1076</v>
      </c>
      <c r="N240" s="6" t="s">
        <v>1073</v>
      </c>
    </row>
    <row r="241" spans="1:14" ht="15.75">
      <c r="A241" s="11">
        <f t="shared" si="11"/>
        <v>236</v>
      </c>
      <c r="B241" s="132" t="s">
        <v>1088</v>
      </c>
      <c r="C241" s="197" t="s">
        <v>942</v>
      </c>
      <c r="D241" s="197">
        <v>105589</v>
      </c>
      <c r="E241" s="356" t="s">
        <v>1089</v>
      </c>
      <c r="F241" s="14">
        <v>101.5</v>
      </c>
      <c r="G241" s="238">
        <v>100</v>
      </c>
      <c r="H241" s="131">
        <v>1.5</v>
      </c>
      <c r="I241" s="14"/>
      <c r="J241" s="18">
        <f>SUM(G241+H241+I241)</f>
        <v>101.5</v>
      </c>
      <c r="K241" s="32"/>
      <c r="L241" s="33">
        <f>+(F241-((SUM(J241+K241))))</f>
        <v>0</v>
      </c>
      <c r="M241" s="217"/>
    </row>
    <row r="242" spans="1:14" ht="15.75">
      <c r="A242" s="11">
        <f t="shared" si="11"/>
        <v>237</v>
      </c>
      <c r="B242" s="333" t="s">
        <v>1013</v>
      </c>
      <c r="C242" s="19"/>
      <c r="D242" s="19"/>
      <c r="E242" s="390" t="s">
        <v>1014</v>
      </c>
      <c r="F242" s="14">
        <v>105</v>
      </c>
      <c r="G242" s="74">
        <v>100</v>
      </c>
      <c r="H242" s="75">
        <v>5</v>
      </c>
      <c r="I242" s="249"/>
      <c r="J242" s="18">
        <f>SUM(G242+H242+I242)</f>
        <v>105</v>
      </c>
      <c r="K242" s="35"/>
      <c r="L242" s="36">
        <f>+(F242-((SUM(J242+K242))))</f>
        <v>0</v>
      </c>
      <c r="M242" s="215" t="s">
        <v>1090</v>
      </c>
      <c r="N242" s="6"/>
    </row>
    <row r="243" spans="1:14" ht="15.75">
      <c r="A243" s="11">
        <f t="shared" si="11"/>
        <v>238</v>
      </c>
      <c r="B243" s="375" t="s">
        <v>1013</v>
      </c>
      <c r="C243" s="19"/>
      <c r="D243" s="19"/>
      <c r="E243" s="391" t="s">
        <v>1091</v>
      </c>
      <c r="F243" s="14">
        <v>150.5</v>
      </c>
      <c r="G243" s="274">
        <v>143.33000000000001</v>
      </c>
      <c r="H243" s="275">
        <v>7.17</v>
      </c>
      <c r="I243" s="249"/>
      <c r="J243" s="18">
        <f>SUM(G243+H243+I243)</f>
        <v>150.5</v>
      </c>
      <c r="K243" s="35"/>
      <c r="L243" s="36">
        <f>+(F243-((SUM(J243+K243))))</f>
        <v>0</v>
      </c>
      <c r="M243" s="215"/>
      <c r="N243" s="6"/>
    </row>
    <row r="244" spans="1:14" ht="15.75">
      <c r="A244" s="11">
        <f t="shared" si="11"/>
        <v>239</v>
      </c>
      <c r="B244" s="30" t="s">
        <v>1019</v>
      </c>
      <c r="C244" s="19"/>
      <c r="D244" s="19"/>
      <c r="E244" s="392" t="s">
        <v>1092</v>
      </c>
      <c r="F244" s="14">
        <v>150.5</v>
      </c>
      <c r="G244" s="74">
        <f>93.33+50</f>
        <v>143.32999999999998</v>
      </c>
      <c r="H244" s="75">
        <v>7.17</v>
      </c>
      <c r="I244" s="249"/>
      <c r="J244" s="18">
        <f>SUM(G244+H244+I244)</f>
        <v>150.49999999999997</v>
      </c>
      <c r="K244" s="35"/>
      <c r="L244" s="36">
        <f>+(F244-((SUM(J244+K244))))</f>
        <v>2.8421709430404007E-14</v>
      </c>
      <c r="M244" s="215"/>
      <c r="N244" s="6"/>
    </row>
    <row r="245" spans="1:14" ht="15.75">
      <c r="A245" s="11">
        <f t="shared" si="11"/>
        <v>240</v>
      </c>
      <c r="B245" s="30" t="s">
        <v>1019</v>
      </c>
      <c r="C245" s="19"/>
      <c r="D245" s="19"/>
      <c r="E245" s="392" t="s">
        <v>1045</v>
      </c>
      <c r="F245" s="14">
        <v>52.5</v>
      </c>
      <c r="G245" s="74">
        <v>50</v>
      </c>
      <c r="H245" s="75">
        <v>2.5</v>
      </c>
      <c r="I245" s="249"/>
      <c r="J245" s="18">
        <f t="shared" si="15"/>
        <v>52.5</v>
      </c>
      <c r="K245" s="35"/>
      <c r="L245" s="36">
        <f t="shared" ref="L245:L249" si="17">+(F245-((SUM(J245+K245))))</f>
        <v>0</v>
      </c>
      <c r="M245" s="215"/>
      <c r="N245" s="6"/>
    </row>
    <row r="246" spans="1:14" ht="15.75">
      <c r="A246" s="11">
        <f t="shared" si="11"/>
        <v>241</v>
      </c>
      <c r="B246" s="30" t="s">
        <v>1021</v>
      </c>
      <c r="C246" s="19"/>
      <c r="D246" s="19"/>
      <c r="E246" s="392" t="s">
        <v>1093</v>
      </c>
      <c r="F246" s="14">
        <v>150.5</v>
      </c>
      <c r="G246" s="274">
        <v>143.33000000000001</v>
      </c>
      <c r="H246" s="275">
        <v>7.17</v>
      </c>
      <c r="I246" s="249"/>
      <c r="J246" s="18">
        <f t="shared" si="15"/>
        <v>150.5</v>
      </c>
      <c r="K246" s="35"/>
      <c r="L246" s="36">
        <f t="shared" si="17"/>
        <v>0</v>
      </c>
      <c r="M246" s="215"/>
      <c r="N246" s="6"/>
    </row>
    <row r="247" spans="1:14" ht="15.75">
      <c r="A247" s="11">
        <f t="shared" si="11"/>
        <v>242</v>
      </c>
      <c r="B247" s="30" t="s">
        <v>1021</v>
      </c>
      <c r="C247" s="19"/>
      <c r="D247" s="19"/>
      <c r="E247" s="392" t="s">
        <v>1022</v>
      </c>
      <c r="F247" s="14">
        <v>52.5</v>
      </c>
      <c r="G247" s="74">
        <v>50</v>
      </c>
      <c r="H247" s="75">
        <v>2.5</v>
      </c>
      <c r="I247" s="249"/>
      <c r="J247" s="18">
        <f t="shared" si="15"/>
        <v>52.5</v>
      </c>
      <c r="K247" s="35"/>
      <c r="L247" s="36">
        <f t="shared" si="17"/>
        <v>0</v>
      </c>
      <c r="M247" s="215"/>
      <c r="N247" s="6"/>
    </row>
    <row r="248" spans="1:14" ht="15.75">
      <c r="A248" s="11">
        <f t="shared" si="11"/>
        <v>243</v>
      </c>
      <c r="B248" s="30" t="s">
        <v>1094</v>
      </c>
      <c r="C248" s="19"/>
      <c r="D248" s="19"/>
      <c r="E248" s="392" t="s">
        <v>1095</v>
      </c>
      <c r="F248" s="14">
        <v>150.5</v>
      </c>
      <c r="G248" s="74">
        <f>93.33+50</f>
        <v>143.32999999999998</v>
      </c>
      <c r="H248" s="75">
        <v>7.17</v>
      </c>
      <c r="I248" s="249"/>
      <c r="J248" s="18">
        <f t="shared" si="15"/>
        <v>150.49999999999997</v>
      </c>
      <c r="K248" s="35"/>
      <c r="L248" s="36">
        <f t="shared" si="17"/>
        <v>2.8421709430404007E-14</v>
      </c>
      <c r="M248" s="221"/>
      <c r="N248" s="40"/>
    </row>
    <row r="249" spans="1:14" ht="15.75">
      <c r="A249" s="11">
        <f t="shared" si="11"/>
        <v>244</v>
      </c>
      <c r="B249" s="30" t="s">
        <v>1094</v>
      </c>
      <c r="C249" s="19"/>
      <c r="D249" s="19"/>
      <c r="E249" s="392" t="s">
        <v>1096</v>
      </c>
      <c r="F249" s="14">
        <v>105</v>
      </c>
      <c r="G249" s="74">
        <v>100</v>
      </c>
      <c r="H249" s="75">
        <v>5</v>
      </c>
      <c r="I249" s="249"/>
      <c r="J249" s="18">
        <f t="shared" si="15"/>
        <v>105</v>
      </c>
      <c r="K249" s="35"/>
      <c r="L249" s="36">
        <f t="shared" si="17"/>
        <v>0</v>
      </c>
      <c r="M249" s="221"/>
      <c r="N249" s="40"/>
    </row>
    <row r="250" spans="1:14" ht="15.75">
      <c r="A250" s="11">
        <f t="shared" si="11"/>
        <v>245</v>
      </c>
      <c r="B250" s="132" t="s">
        <v>1097</v>
      </c>
      <c r="C250" s="19"/>
      <c r="D250" s="19"/>
      <c r="E250" s="389" t="s">
        <v>1098</v>
      </c>
      <c r="F250" s="14">
        <v>101.5</v>
      </c>
      <c r="G250" s="238">
        <v>100</v>
      </c>
      <c r="H250" s="131">
        <v>1.5</v>
      </c>
      <c r="I250" s="14"/>
      <c r="J250" s="18">
        <f t="shared" ref="J250:J252" si="18">SUM(G250+H250+I250)</f>
        <v>101.5</v>
      </c>
      <c r="K250" s="32"/>
      <c r="L250" s="33">
        <f t="shared" ref="L250:L252" si="19">+(F250-((SUM(J250+K250))))</f>
        <v>0</v>
      </c>
      <c r="M250" s="217"/>
    </row>
    <row r="251" spans="1:14" ht="15.75">
      <c r="A251" s="11">
        <f t="shared" si="11"/>
        <v>246</v>
      </c>
      <c r="B251" s="132" t="s">
        <v>1099</v>
      </c>
      <c r="C251" s="19"/>
      <c r="D251" s="19"/>
      <c r="E251" s="389" t="s">
        <v>1100</v>
      </c>
      <c r="F251" s="14">
        <v>28</v>
      </c>
      <c r="G251" s="238">
        <v>26.67</v>
      </c>
      <c r="H251" s="131">
        <v>1.33</v>
      </c>
      <c r="I251" s="14"/>
      <c r="J251" s="18">
        <f t="shared" si="18"/>
        <v>28</v>
      </c>
      <c r="K251" s="32"/>
      <c r="L251" s="33">
        <f t="shared" si="19"/>
        <v>0</v>
      </c>
      <c r="M251" s="217"/>
    </row>
    <row r="252" spans="1:14" ht="16.5" thickBot="1">
      <c r="A252" s="11">
        <f t="shared" si="11"/>
        <v>247</v>
      </c>
      <c r="B252" s="132" t="s">
        <v>1101</v>
      </c>
      <c r="C252" s="19"/>
      <c r="D252" s="19"/>
      <c r="E252" s="389" t="s">
        <v>1102</v>
      </c>
      <c r="F252" s="14">
        <v>28</v>
      </c>
      <c r="G252" s="238">
        <v>26.67</v>
      </c>
      <c r="H252" s="131">
        <v>1.33</v>
      </c>
      <c r="I252" s="14"/>
      <c r="J252" s="18">
        <f t="shared" si="18"/>
        <v>28</v>
      </c>
      <c r="K252" s="32"/>
      <c r="L252" s="33">
        <f t="shared" si="19"/>
        <v>0</v>
      </c>
      <c r="M252" s="217"/>
    </row>
    <row r="253" spans="1:14" ht="16.5" thickBot="1">
      <c r="A253" s="349"/>
      <c r="B253" s="64"/>
      <c r="C253" s="64"/>
      <c r="D253" s="350"/>
      <c r="E253" s="364" t="s">
        <v>795</v>
      </c>
      <c r="F253" s="253">
        <f>SUM(F6:F252)</f>
        <v>30889.060000000005</v>
      </c>
      <c r="G253" s="253">
        <f t="shared" ref="G253:K253" si="20">SUM(G6:G252)</f>
        <v>26503.310000000005</v>
      </c>
      <c r="H253" s="253">
        <f t="shared" si="20"/>
        <v>1308.6300000000001</v>
      </c>
      <c r="I253" s="253">
        <f t="shared" si="20"/>
        <v>2853.0000000000005</v>
      </c>
      <c r="J253" s="253">
        <f t="shared" si="20"/>
        <v>30664.940000000006</v>
      </c>
      <c r="K253" s="253">
        <f t="shared" si="20"/>
        <v>224.12000000000003</v>
      </c>
      <c r="L253" s="253">
        <f>SUM(L6:L247)</f>
        <v>-8.5265128291212022E-14</v>
      </c>
      <c r="M253" s="219"/>
      <c r="N253" s="58"/>
    </row>
    <row r="254" spans="1:14" ht="16.5" thickBot="1">
      <c r="A254" s="66"/>
      <c r="B254" s="67"/>
      <c r="C254" s="198"/>
      <c r="D254" s="198"/>
      <c r="E254" s="67"/>
      <c r="F254" s="254"/>
      <c r="G254" s="68"/>
      <c r="H254" s="68"/>
      <c r="I254" s="254"/>
      <c r="J254" s="68"/>
      <c r="K254" s="68"/>
      <c r="L254" s="68"/>
      <c r="M254" s="220"/>
      <c r="N254" s="59" t="s">
        <v>525</v>
      </c>
    </row>
    <row r="255" spans="1:14" ht="16.5" thickBot="1">
      <c r="A255" s="150"/>
      <c r="B255" s="151" t="s">
        <v>796</v>
      </c>
      <c r="C255" s="151"/>
      <c r="D255" s="337"/>
      <c r="E255" s="365"/>
      <c r="F255" s="255"/>
      <c r="G255" s="239"/>
      <c r="H255" s="239"/>
      <c r="I255" s="255"/>
      <c r="J255" s="239"/>
      <c r="K255" s="239"/>
      <c r="L255" s="239"/>
      <c r="M255" s="240"/>
      <c r="N255" s="60" t="s">
        <v>79</v>
      </c>
    </row>
    <row r="256" spans="1:14" ht="15.75">
      <c r="A256" s="136">
        <v>1</v>
      </c>
      <c r="B256" s="19" t="s">
        <v>797</v>
      </c>
      <c r="C256" s="19" t="s">
        <v>1029</v>
      </c>
      <c r="D256" s="19">
        <v>101243</v>
      </c>
      <c r="E256" s="366" t="s">
        <v>294</v>
      </c>
      <c r="F256" s="14">
        <v>691.25</v>
      </c>
      <c r="G256" s="53">
        <v>325</v>
      </c>
      <c r="H256" s="54">
        <v>16.25</v>
      </c>
      <c r="I256" s="248">
        <v>350</v>
      </c>
      <c r="J256" s="18">
        <f>SUM(G256:I256)</f>
        <v>691.25</v>
      </c>
      <c r="K256" s="77"/>
      <c r="L256" s="33">
        <f t="shared" ref="L256:L315" si="21">+(F256-((SUM(J256+K256))))</f>
        <v>0</v>
      </c>
      <c r="M256" s="215"/>
      <c r="N256" s="40"/>
    </row>
    <row r="257" spans="1:14" ht="15.75">
      <c r="A257" s="136">
        <f>1+A256</f>
        <v>2</v>
      </c>
      <c r="B257" s="19" t="s">
        <v>798</v>
      </c>
      <c r="C257" s="19" t="s">
        <v>1029</v>
      </c>
      <c r="D257" s="19">
        <v>101013</v>
      </c>
      <c r="E257" s="366" t="s">
        <v>297</v>
      </c>
      <c r="F257" s="14">
        <v>236.25</v>
      </c>
      <c r="G257" s="53">
        <v>200</v>
      </c>
      <c r="H257" s="54">
        <v>10</v>
      </c>
      <c r="I257" s="248">
        <v>26.25</v>
      </c>
      <c r="J257" s="18">
        <f>SUM(G257:I257)</f>
        <v>236.25</v>
      </c>
      <c r="K257" s="77"/>
      <c r="L257" s="33">
        <f t="shared" si="21"/>
        <v>0</v>
      </c>
      <c r="M257" s="215"/>
      <c r="N257" s="40"/>
    </row>
    <row r="258" spans="1:14" ht="15.75">
      <c r="A258" s="136">
        <f t="shared" ref="A258:A316" si="22">1+A257</f>
        <v>3</v>
      </c>
      <c r="B258" s="116" t="s">
        <v>799</v>
      </c>
      <c r="C258" s="19" t="s">
        <v>1029</v>
      </c>
      <c r="D258" s="19">
        <v>101879</v>
      </c>
      <c r="E258" s="356" t="s">
        <v>800</v>
      </c>
      <c r="F258" s="14">
        <v>52.5</v>
      </c>
      <c r="G258" s="74">
        <v>50</v>
      </c>
      <c r="H258" s="54">
        <v>2.5</v>
      </c>
      <c r="I258" s="14"/>
      <c r="J258" s="18">
        <f t="shared" ref="J258:J263" si="23">SUM(G258:I258)</f>
        <v>52.5</v>
      </c>
      <c r="K258" s="32"/>
      <c r="L258" s="33">
        <f t="shared" si="21"/>
        <v>0</v>
      </c>
      <c r="M258" s="215"/>
      <c r="N258" s="40"/>
    </row>
    <row r="259" spans="1:14" ht="15.75">
      <c r="A259" s="136">
        <f t="shared" si="22"/>
        <v>4</v>
      </c>
      <c r="B259" s="19" t="s">
        <v>813</v>
      </c>
      <c r="C259" s="19" t="s">
        <v>1029</v>
      </c>
      <c r="D259" s="19">
        <v>101056</v>
      </c>
      <c r="E259" s="356" t="s">
        <v>101</v>
      </c>
      <c r="F259" s="14">
        <v>52.5</v>
      </c>
      <c r="G259" s="74">
        <v>50</v>
      </c>
      <c r="H259" s="75">
        <v>2.5</v>
      </c>
      <c r="I259" s="14"/>
      <c r="J259" s="18">
        <f t="shared" si="23"/>
        <v>52.5</v>
      </c>
      <c r="K259" s="32"/>
      <c r="L259" s="33">
        <f t="shared" si="21"/>
        <v>0</v>
      </c>
      <c r="M259" s="215"/>
      <c r="N259" s="40"/>
    </row>
    <row r="260" spans="1:14" ht="15.75">
      <c r="A260" s="136">
        <f t="shared" si="22"/>
        <v>5</v>
      </c>
      <c r="B260" s="19" t="s">
        <v>801</v>
      </c>
      <c r="C260" s="19" t="s">
        <v>1029</v>
      </c>
      <c r="D260" s="19">
        <v>101332</v>
      </c>
      <c r="E260" s="355" t="s">
        <v>82</v>
      </c>
      <c r="F260" s="14">
        <v>262.48</v>
      </c>
      <c r="G260" s="74">
        <v>160</v>
      </c>
      <c r="H260" s="75">
        <v>8.15</v>
      </c>
      <c r="I260" s="14">
        <v>31.73</v>
      </c>
      <c r="J260" s="18">
        <f t="shared" si="23"/>
        <v>199.88</v>
      </c>
      <c r="K260" s="32">
        <v>62.6</v>
      </c>
      <c r="L260" s="33">
        <f t="shared" si="21"/>
        <v>0</v>
      </c>
      <c r="M260" s="215" t="s">
        <v>947</v>
      </c>
      <c r="N260" s="195"/>
    </row>
    <row r="261" spans="1:14" ht="15.75">
      <c r="A261" s="136">
        <f t="shared" si="22"/>
        <v>6</v>
      </c>
      <c r="B261" s="19" t="s">
        <v>802</v>
      </c>
      <c r="C261" s="19" t="s">
        <v>1029</v>
      </c>
      <c r="D261" s="19">
        <v>101844</v>
      </c>
      <c r="E261" s="355" t="s">
        <v>803</v>
      </c>
      <c r="F261" s="14">
        <v>52.5</v>
      </c>
      <c r="G261" s="74">
        <v>50</v>
      </c>
      <c r="H261" s="75">
        <v>2.5</v>
      </c>
      <c r="I261" s="14"/>
      <c r="J261" s="18">
        <f t="shared" si="23"/>
        <v>52.5</v>
      </c>
      <c r="K261" s="32"/>
      <c r="L261" s="33">
        <f t="shared" si="21"/>
        <v>0</v>
      </c>
      <c r="M261" s="215"/>
      <c r="N261" s="194"/>
    </row>
    <row r="262" spans="1:14" ht="15.75">
      <c r="A262" s="136">
        <f t="shared" si="22"/>
        <v>7</v>
      </c>
      <c r="B262" s="19" t="s">
        <v>804</v>
      </c>
      <c r="C262" s="19" t="s">
        <v>1029</v>
      </c>
      <c r="D262" s="19">
        <v>101036</v>
      </c>
      <c r="E262" s="355" t="s">
        <v>805</v>
      </c>
      <c r="F262" s="14">
        <v>105</v>
      </c>
      <c r="G262" s="53">
        <v>100</v>
      </c>
      <c r="H262" s="54">
        <v>5</v>
      </c>
      <c r="I262" s="248"/>
      <c r="J262" s="18">
        <f t="shared" si="23"/>
        <v>105</v>
      </c>
      <c r="K262" s="32"/>
      <c r="L262" s="33">
        <f t="shared" si="21"/>
        <v>0</v>
      </c>
      <c r="M262" s="215"/>
      <c r="N262" s="6" t="s">
        <v>539</v>
      </c>
    </row>
    <row r="263" spans="1:14" ht="15.75">
      <c r="A263" s="136">
        <f t="shared" si="22"/>
        <v>8</v>
      </c>
      <c r="B263" s="30" t="s">
        <v>806</v>
      </c>
      <c r="C263" s="19" t="s">
        <v>1029</v>
      </c>
      <c r="D263" s="19">
        <v>101727</v>
      </c>
      <c r="E263" s="315" t="s">
        <v>807</v>
      </c>
      <c r="F263" s="249">
        <v>247.53</v>
      </c>
      <c r="G263" s="74">
        <v>100</v>
      </c>
      <c r="H263" s="75">
        <v>5</v>
      </c>
      <c r="I263" s="249">
        <v>142.53</v>
      </c>
      <c r="J263" s="18">
        <f t="shared" si="23"/>
        <v>247.53</v>
      </c>
      <c r="K263" s="32"/>
      <c r="L263" s="33">
        <f t="shared" si="21"/>
        <v>0</v>
      </c>
      <c r="M263" s="215"/>
      <c r="N263" s="6" t="s">
        <v>542</v>
      </c>
    </row>
    <row r="264" spans="1:14" ht="15.75">
      <c r="A264" s="136">
        <f t="shared" si="22"/>
        <v>9</v>
      </c>
      <c r="B264" s="19" t="s">
        <v>808</v>
      </c>
      <c r="C264" s="19" t="s">
        <v>1029</v>
      </c>
      <c r="D264" s="19">
        <v>101709</v>
      </c>
      <c r="E264" s="355" t="s">
        <v>809</v>
      </c>
      <c r="F264" s="14">
        <v>110.8</v>
      </c>
      <c r="G264" s="74">
        <v>100</v>
      </c>
      <c r="H264" s="75">
        <v>5</v>
      </c>
      <c r="I264" s="14">
        <v>5.8</v>
      </c>
      <c r="J264" s="18">
        <f t="shared" ref="J264:J304" si="24">SUM(G264+H264+I264)</f>
        <v>110.8</v>
      </c>
      <c r="K264" s="32"/>
      <c r="L264" s="33">
        <f t="shared" si="21"/>
        <v>0</v>
      </c>
      <c r="M264" s="37"/>
      <c r="N264" s="40"/>
    </row>
    <row r="265" spans="1:14" ht="15.75">
      <c r="A265" s="136">
        <f t="shared" si="22"/>
        <v>10</v>
      </c>
      <c r="B265" s="19" t="s">
        <v>810</v>
      </c>
      <c r="C265" s="19" t="s">
        <v>1029</v>
      </c>
      <c r="D265" s="19">
        <v>101563</v>
      </c>
      <c r="E265" s="356" t="s">
        <v>811</v>
      </c>
      <c r="F265" s="14">
        <v>52.5</v>
      </c>
      <c r="G265" s="20">
        <v>50</v>
      </c>
      <c r="H265" s="21">
        <v>2.5</v>
      </c>
      <c r="I265" s="14"/>
      <c r="J265" s="18">
        <f t="shared" si="24"/>
        <v>52.5</v>
      </c>
      <c r="K265" s="32"/>
      <c r="L265" s="33">
        <f t="shared" si="21"/>
        <v>0</v>
      </c>
      <c r="M265" s="215"/>
      <c r="N265" s="40"/>
    </row>
    <row r="266" spans="1:14" ht="15.75">
      <c r="A266" s="136">
        <f t="shared" si="22"/>
        <v>11</v>
      </c>
      <c r="B266" s="28" t="s">
        <v>815</v>
      </c>
      <c r="C266" s="55" t="s">
        <v>1029</v>
      </c>
      <c r="D266" s="19">
        <v>101894</v>
      </c>
      <c r="E266" s="367" t="s">
        <v>816</v>
      </c>
      <c r="F266" s="14">
        <v>52.5</v>
      </c>
      <c r="G266" s="74">
        <v>50</v>
      </c>
      <c r="H266" s="241">
        <v>2.5</v>
      </c>
      <c r="I266" s="14"/>
      <c r="J266" s="18">
        <f>SUM(G266+H266+I266)</f>
        <v>52.5</v>
      </c>
      <c r="K266" s="32"/>
      <c r="L266" s="33">
        <f>+(F266-((SUM(J266+K266))))</f>
        <v>0</v>
      </c>
      <c r="M266" s="218"/>
      <c r="N266" s="40"/>
    </row>
    <row r="267" spans="1:14" ht="15.75">
      <c r="A267" s="136">
        <f t="shared" si="22"/>
        <v>12</v>
      </c>
      <c r="B267" s="19" t="s">
        <v>812</v>
      </c>
      <c r="C267" s="19" t="s">
        <v>1029</v>
      </c>
      <c r="D267" s="19">
        <v>101051</v>
      </c>
      <c r="E267" s="355" t="s">
        <v>91</v>
      </c>
      <c r="F267" s="14">
        <v>105</v>
      </c>
      <c r="G267" s="74">
        <v>100</v>
      </c>
      <c r="H267" s="75">
        <v>5</v>
      </c>
      <c r="I267" s="14"/>
      <c r="J267" s="18">
        <f t="shared" si="24"/>
        <v>105</v>
      </c>
      <c r="K267" s="32"/>
      <c r="L267" s="33">
        <f t="shared" si="21"/>
        <v>0</v>
      </c>
      <c r="M267" s="215"/>
      <c r="N267" s="6"/>
    </row>
    <row r="268" spans="1:14" ht="15.75">
      <c r="A268" s="136">
        <f t="shared" si="22"/>
        <v>13</v>
      </c>
      <c r="B268" s="19" t="s">
        <v>817</v>
      </c>
      <c r="C268" s="19" t="s">
        <v>1029</v>
      </c>
      <c r="D268" s="19">
        <v>101261</v>
      </c>
      <c r="E268" s="356" t="s">
        <v>99</v>
      </c>
      <c r="F268" s="14">
        <v>105</v>
      </c>
      <c r="G268" s="74">
        <v>100</v>
      </c>
      <c r="H268" s="75">
        <v>5</v>
      </c>
      <c r="I268" s="14"/>
      <c r="J268" s="18">
        <f>SUM(G268+H268+I268)</f>
        <v>105</v>
      </c>
      <c r="K268" s="32"/>
      <c r="L268" s="33">
        <f>+(F268-((SUM(J268+K268))))</f>
        <v>0</v>
      </c>
      <c r="M268" s="215"/>
      <c r="N268" s="40"/>
    </row>
    <row r="269" spans="1:14" ht="15.75">
      <c r="A269" s="136">
        <f t="shared" si="22"/>
        <v>14</v>
      </c>
      <c r="B269" s="30" t="s">
        <v>814</v>
      </c>
      <c r="C269" s="19" t="s">
        <v>1029</v>
      </c>
      <c r="D269" s="19">
        <v>101300</v>
      </c>
      <c r="E269" s="359" t="s">
        <v>115</v>
      </c>
      <c r="F269" s="249">
        <v>105</v>
      </c>
      <c r="G269" s="74">
        <v>100</v>
      </c>
      <c r="H269" s="75">
        <v>5</v>
      </c>
      <c r="I269" s="249"/>
      <c r="J269" s="25">
        <f t="shared" si="24"/>
        <v>105</v>
      </c>
      <c r="K269" s="35"/>
      <c r="L269" s="33">
        <f t="shared" si="21"/>
        <v>0</v>
      </c>
      <c r="M269" s="37"/>
      <c r="N269" s="195"/>
    </row>
    <row r="270" spans="1:14" ht="15.75">
      <c r="A270" s="136">
        <f t="shared" si="22"/>
        <v>15</v>
      </c>
      <c r="B270" s="19" t="s">
        <v>818</v>
      </c>
      <c r="C270" s="19" t="s">
        <v>1029</v>
      </c>
      <c r="D270" s="19">
        <v>101023</v>
      </c>
      <c r="E270" s="355" t="s">
        <v>819</v>
      </c>
      <c r="F270" s="14">
        <v>210</v>
      </c>
      <c r="G270" s="53">
        <v>200</v>
      </c>
      <c r="H270" s="54">
        <v>10</v>
      </c>
      <c r="I270" s="248"/>
      <c r="J270" s="25">
        <f t="shared" si="24"/>
        <v>210</v>
      </c>
      <c r="K270" s="32"/>
      <c r="L270" s="33">
        <f t="shared" si="21"/>
        <v>0</v>
      </c>
      <c r="M270" s="37"/>
      <c r="N270" s="6"/>
    </row>
    <row r="271" spans="1:14" ht="15.75">
      <c r="A271" s="136">
        <f t="shared" si="22"/>
        <v>16</v>
      </c>
      <c r="B271" s="30" t="s">
        <v>820</v>
      </c>
      <c r="C271" s="19" t="s">
        <v>1029</v>
      </c>
      <c r="D271" s="19">
        <v>101014</v>
      </c>
      <c r="E271" s="315" t="s">
        <v>821</v>
      </c>
      <c r="F271" s="249">
        <v>210</v>
      </c>
      <c r="G271" s="74">
        <v>200</v>
      </c>
      <c r="H271" s="75">
        <v>10</v>
      </c>
      <c r="I271" s="248"/>
      <c r="J271" s="25">
        <f t="shared" si="24"/>
        <v>210</v>
      </c>
      <c r="K271" s="76"/>
      <c r="L271" s="36">
        <f t="shared" si="21"/>
        <v>0</v>
      </c>
      <c r="M271" s="37"/>
      <c r="N271" s="194"/>
    </row>
    <row r="272" spans="1:14" ht="15.75">
      <c r="A272" s="136">
        <f t="shared" si="22"/>
        <v>17</v>
      </c>
      <c r="B272" s="19" t="s">
        <v>824</v>
      </c>
      <c r="C272" s="19" t="s">
        <v>1029</v>
      </c>
      <c r="D272" s="19">
        <v>101693</v>
      </c>
      <c r="E272" s="355" t="s">
        <v>1030</v>
      </c>
      <c r="F272" s="14">
        <v>105</v>
      </c>
      <c r="G272" s="53">
        <v>100</v>
      </c>
      <c r="H272" s="381">
        <v>5</v>
      </c>
      <c r="I272" s="248"/>
      <c r="J272" s="25">
        <f t="shared" si="24"/>
        <v>105</v>
      </c>
      <c r="K272" s="77"/>
      <c r="L272" s="33">
        <f t="shared" si="21"/>
        <v>0</v>
      </c>
      <c r="M272" s="215"/>
      <c r="N272" s="6" t="s">
        <v>557</v>
      </c>
    </row>
    <row r="273" spans="1:14" ht="15.75">
      <c r="A273" s="136">
        <f t="shared" si="22"/>
        <v>18</v>
      </c>
      <c r="B273" s="12" t="s">
        <v>826</v>
      </c>
      <c r="C273" s="19" t="s">
        <v>1029</v>
      </c>
      <c r="D273" s="19">
        <v>105482</v>
      </c>
      <c r="E273" s="379" t="s">
        <v>1042</v>
      </c>
      <c r="F273" s="14">
        <v>105</v>
      </c>
      <c r="G273" s="398">
        <v>100</v>
      </c>
      <c r="H273" s="241">
        <v>5</v>
      </c>
      <c r="I273" s="14"/>
      <c r="J273" s="25">
        <f t="shared" si="24"/>
        <v>105</v>
      </c>
      <c r="K273" s="32"/>
      <c r="L273" s="33">
        <f t="shared" si="21"/>
        <v>0</v>
      </c>
      <c r="M273" s="215"/>
      <c r="N273" s="6" t="s">
        <v>559</v>
      </c>
    </row>
    <row r="274" spans="1:14" ht="15.75">
      <c r="A274" s="136">
        <f t="shared" si="22"/>
        <v>19</v>
      </c>
      <c r="B274" s="30" t="s">
        <v>1103</v>
      </c>
      <c r="C274" s="19" t="s">
        <v>1029</v>
      </c>
      <c r="D274" s="19">
        <v>105482</v>
      </c>
      <c r="E274" s="379" t="s">
        <v>1104</v>
      </c>
      <c r="F274" s="14">
        <v>350.28</v>
      </c>
      <c r="G274" s="398">
        <v>100</v>
      </c>
      <c r="H274" s="241">
        <v>5</v>
      </c>
      <c r="I274" s="249">
        <v>245.28</v>
      </c>
      <c r="J274" s="18">
        <f>SUM(G274+H274+I274)</f>
        <v>350.28</v>
      </c>
      <c r="K274" s="35"/>
      <c r="L274" s="36">
        <f>+(F274-((SUM(J274+K274))))</f>
        <v>0</v>
      </c>
      <c r="M274" s="221"/>
      <c r="N274" s="40"/>
    </row>
    <row r="275" spans="1:14" ht="15.75">
      <c r="A275" s="136">
        <f t="shared" si="22"/>
        <v>20</v>
      </c>
      <c r="B275" s="396" t="s">
        <v>1103</v>
      </c>
      <c r="C275" s="145" t="s">
        <v>1029</v>
      </c>
      <c r="D275" s="145">
        <v>105482</v>
      </c>
      <c r="E275" s="379" t="s">
        <v>1105</v>
      </c>
      <c r="F275" s="14">
        <v>105</v>
      </c>
      <c r="G275" s="399">
        <v>100</v>
      </c>
      <c r="H275" s="404">
        <v>5</v>
      </c>
      <c r="I275" s="249"/>
      <c r="J275" s="18">
        <f>SUM(G275+H275+I275)</f>
        <v>105</v>
      </c>
      <c r="K275" s="35"/>
      <c r="L275" s="36">
        <f>+(F275-((SUM(J275+K275))))</f>
        <v>0</v>
      </c>
      <c r="M275" s="221"/>
      <c r="N275" s="40"/>
    </row>
    <row r="276" spans="1:14" ht="15.75">
      <c r="A276" s="136">
        <f t="shared" si="22"/>
        <v>21</v>
      </c>
      <c r="B276" s="145" t="s">
        <v>831</v>
      </c>
      <c r="C276" s="145" t="s">
        <v>1029</v>
      </c>
      <c r="D276" s="145">
        <v>101692</v>
      </c>
      <c r="E276" s="397" t="s">
        <v>210</v>
      </c>
      <c r="F276" s="14">
        <v>239.38</v>
      </c>
      <c r="G276" s="400">
        <v>100</v>
      </c>
      <c r="H276" s="405">
        <v>5</v>
      </c>
      <c r="I276" s="14">
        <v>134.38</v>
      </c>
      <c r="J276" s="25">
        <f t="shared" si="24"/>
        <v>239.38</v>
      </c>
      <c r="K276" s="32"/>
      <c r="L276" s="47">
        <f t="shared" si="21"/>
        <v>0</v>
      </c>
      <c r="M276" s="215"/>
    </row>
    <row r="277" spans="1:14" ht="15.75">
      <c r="A277" s="136">
        <f t="shared" si="22"/>
        <v>22</v>
      </c>
      <c r="B277" s="19" t="s">
        <v>832</v>
      </c>
      <c r="C277" s="19" t="s">
        <v>1029</v>
      </c>
      <c r="D277" s="19">
        <v>101719</v>
      </c>
      <c r="E277" s="377" t="s">
        <v>833</v>
      </c>
      <c r="F277" s="14">
        <v>300.17</v>
      </c>
      <c r="G277" s="398">
        <v>125</v>
      </c>
      <c r="H277" s="241">
        <v>6.25</v>
      </c>
      <c r="I277" s="14">
        <v>168.92</v>
      </c>
      <c r="J277" s="25">
        <f t="shared" si="24"/>
        <v>300.16999999999996</v>
      </c>
      <c r="K277" s="32"/>
      <c r="L277" s="33">
        <f t="shared" si="21"/>
        <v>5.6843418860808015E-14</v>
      </c>
      <c r="M277" s="215"/>
    </row>
    <row r="278" spans="1:14" ht="15.75">
      <c r="A278" s="136">
        <f t="shared" si="22"/>
        <v>23</v>
      </c>
      <c r="B278" s="19" t="s">
        <v>836</v>
      </c>
      <c r="C278" s="19" t="s">
        <v>1029</v>
      </c>
      <c r="D278" s="19">
        <v>101734</v>
      </c>
      <c r="E278" s="379" t="s">
        <v>381</v>
      </c>
      <c r="F278" s="14">
        <v>201.89</v>
      </c>
      <c r="G278" s="401">
        <v>100</v>
      </c>
      <c r="H278" s="383">
        <v>5</v>
      </c>
      <c r="I278" s="14">
        <v>96.89</v>
      </c>
      <c r="J278" s="25">
        <f t="shared" si="24"/>
        <v>201.89</v>
      </c>
      <c r="K278" s="32"/>
      <c r="L278" s="33">
        <f t="shared" si="21"/>
        <v>0</v>
      </c>
      <c r="M278" s="215"/>
      <c r="N278" s="6"/>
    </row>
    <row r="279" spans="1:14" ht="15.75">
      <c r="A279" s="136">
        <f t="shared" si="22"/>
        <v>24</v>
      </c>
      <c r="B279" s="132" t="s">
        <v>837</v>
      </c>
      <c r="C279" s="19" t="s">
        <v>1029</v>
      </c>
      <c r="D279" s="197">
        <v>101911</v>
      </c>
      <c r="E279" s="377" t="s">
        <v>838</v>
      </c>
      <c r="F279" s="14">
        <v>105</v>
      </c>
      <c r="G279" s="402">
        <v>100</v>
      </c>
      <c r="H279" s="406">
        <v>5</v>
      </c>
      <c r="I279" s="14"/>
      <c r="J279" s="25">
        <f t="shared" si="24"/>
        <v>105</v>
      </c>
      <c r="K279" s="32"/>
      <c r="L279" s="33">
        <f t="shared" si="21"/>
        <v>0</v>
      </c>
      <c r="M279" s="42"/>
      <c r="N279" s="6"/>
    </row>
    <row r="280" spans="1:14" ht="15.75">
      <c r="A280" s="136">
        <f t="shared" si="22"/>
        <v>25</v>
      </c>
      <c r="B280" s="19" t="s">
        <v>839</v>
      </c>
      <c r="C280" s="19" t="s">
        <v>1029</v>
      </c>
      <c r="D280" s="19">
        <v>101729</v>
      </c>
      <c r="E280" s="379" t="s">
        <v>840</v>
      </c>
      <c r="F280" s="14">
        <v>235.89</v>
      </c>
      <c r="G280" s="401">
        <v>100</v>
      </c>
      <c r="H280" s="383">
        <v>5</v>
      </c>
      <c r="I280" s="14">
        <v>130.88999999999999</v>
      </c>
      <c r="J280" s="25">
        <f t="shared" si="24"/>
        <v>235.89</v>
      </c>
      <c r="K280" s="32"/>
      <c r="L280" s="33">
        <f t="shared" si="21"/>
        <v>0</v>
      </c>
      <c r="M280" s="215"/>
      <c r="N280" s="6"/>
    </row>
    <row r="281" spans="1:14" ht="15.75">
      <c r="A281" s="136">
        <f t="shared" si="22"/>
        <v>26</v>
      </c>
      <c r="B281" s="19" t="s">
        <v>841</v>
      </c>
      <c r="C281" s="19" t="s">
        <v>1029</v>
      </c>
      <c r="D281" s="19">
        <v>101275</v>
      </c>
      <c r="E281" s="377" t="s">
        <v>842</v>
      </c>
      <c r="F281" s="14">
        <v>105</v>
      </c>
      <c r="G281" s="403">
        <v>100</v>
      </c>
      <c r="H281" s="381">
        <v>5</v>
      </c>
      <c r="I281" s="248"/>
      <c r="J281" s="25">
        <f t="shared" si="24"/>
        <v>105</v>
      </c>
      <c r="K281" s="61"/>
      <c r="L281" s="33">
        <f t="shared" si="21"/>
        <v>0</v>
      </c>
      <c r="M281" s="37"/>
      <c r="N281" s="6"/>
    </row>
    <row r="282" spans="1:14" ht="15.75">
      <c r="A282" s="136">
        <f t="shared" si="22"/>
        <v>27</v>
      </c>
      <c r="B282" s="132" t="s">
        <v>843</v>
      </c>
      <c r="C282" s="197" t="s">
        <v>1029</v>
      </c>
      <c r="D282" s="197">
        <v>105048</v>
      </c>
      <c r="E282" s="377" t="s">
        <v>844</v>
      </c>
      <c r="F282" s="14">
        <v>147.88999999999999</v>
      </c>
      <c r="G282" s="402">
        <v>50</v>
      </c>
      <c r="H282" s="406">
        <v>2.5</v>
      </c>
      <c r="I282" s="14">
        <v>95.39</v>
      </c>
      <c r="J282" s="25">
        <f t="shared" si="24"/>
        <v>147.88999999999999</v>
      </c>
      <c r="K282" s="32"/>
      <c r="L282" s="33">
        <f t="shared" si="21"/>
        <v>0</v>
      </c>
      <c r="M282" s="215"/>
      <c r="N282" s="6"/>
    </row>
    <row r="283" spans="1:14" ht="15.75">
      <c r="A283" s="136">
        <f t="shared" si="22"/>
        <v>28</v>
      </c>
      <c r="B283" s="19" t="s">
        <v>44</v>
      </c>
      <c r="C283" s="19" t="s">
        <v>1029</v>
      </c>
      <c r="D283" s="19">
        <v>101743</v>
      </c>
      <c r="E283" s="356" t="s">
        <v>845</v>
      </c>
      <c r="F283" s="14">
        <v>225.27</v>
      </c>
      <c r="G283" s="53">
        <v>100</v>
      </c>
      <c r="H283" s="381">
        <v>5</v>
      </c>
      <c r="I283" s="14">
        <v>120.27</v>
      </c>
      <c r="J283" s="25">
        <f t="shared" si="24"/>
        <v>225.26999999999998</v>
      </c>
      <c r="K283" s="32"/>
      <c r="L283" s="33">
        <f t="shared" si="21"/>
        <v>2.8421709430404007E-14</v>
      </c>
      <c r="M283" s="215"/>
      <c r="N283" s="6"/>
    </row>
    <row r="284" spans="1:14" ht="15.75">
      <c r="A284" s="136">
        <f t="shared" si="22"/>
        <v>29</v>
      </c>
      <c r="B284" s="19" t="s">
        <v>846</v>
      </c>
      <c r="C284" s="19" t="s">
        <v>1029</v>
      </c>
      <c r="D284" s="19">
        <v>101572</v>
      </c>
      <c r="E284" s="356" t="s">
        <v>335</v>
      </c>
      <c r="F284" s="14">
        <v>105</v>
      </c>
      <c r="G284" s="74">
        <v>100</v>
      </c>
      <c r="H284" s="241">
        <v>5</v>
      </c>
      <c r="I284" s="257"/>
      <c r="J284" s="25">
        <f t="shared" si="24"/>
        <v>105</v>
      </c>
      <c r="K284" s="32"/>
      <c r="L284" s="33">
        <f t="shared" si="21"/>
        <v>0</v>
      </c>
      <c r="M284" s="37"/>
      <c r="N284" s="6"/>
    </row>
    <row r="285" spans="1:14" ht="15.75">
      <c r="A285" s="136">
        <f t="shared" si="22"/>
        <v>30</v>
      </c>
      <c r="B285" s="30" t="s">
        <v>847</v>
      </c>
      <c r="C285" s="19" t="s">
        <v>1029</v>
      </c>
      <c r="D285" s="19">
        <v>101106</v>
      </c>
      <c r="E285" s="359" t="s">
        <v>337</v>
      </c>
      <c r="F285" s="249">
        <v>105</v>
      </c>
      <c r="G285" s="74">
        <v>100</v>
      </c>
      <c r="H285" s="241">
        <v>5</v>
      </c>
      <c r="I285" s="248"/>
      <c r="J285" s="25">
        <f t="shared" si="24"/>
        <v>105</v>
      </c>
      <c r="K285" s="35"/>
      <c r="L285" s="33">
        <f t="shared" si="21"/>
        <v>0</v>
      </c>
      <c r="M285" s="37"/>
      <c r="N285" s="6"/>
    </row>
    <row r="286" spans="1:14" ht="15.75">
      <c r="A286" s="136">
        <f t="shared" si="22"/>
        <v>31</v>
      </c>
      <c r="B286" s="19" t="s">
        <v>848</v>
      </c>
      <c r="C286" s="19" t="s">
        <v>1029</v>
      </c>
      <c r="D286" s="19">
        <v>101700</v>
      </c>
      <c r="E286" s="356" t="s">
        <v>339</v>
      </c>
      <c r="F286" s="14">
        <v>105</v>
      </c>
      <c r="G286" s="74">
        <v>100</v>
      </c>
      <c r="H286" s="241">
        <v>5</v>
      </c>
      <c r="I286" s="248"/>
      <c r="J286" s="25">
        <f t="shared" si="24"/>
        <v>105</v>
      </c>
      <c r="K286" s="32"/>
      <c r="L286" s="33">
        <f t="shared" si="21"/>
        <v>0</v>
      </c>
      <c r="M286" s="37"/>
      <c r="N286" s="40"/>
    </row>
    <row r="287" spans="1:14" ht="15.75">
      <c r="A287" s="136">
        <f t="shared" si="22"/>
        <v>32</v>
      </c>
      <c r="B287" s="19" t="s">
        <v>849</v>
      </c>
      <c r="C287" s="19" t="s">
        <v>1029</v>
      </c>
      <c r="D287" s="19">
        <v>101319</v>
      </c>
      <c r="E287" s="356" t="s">
        <v>113</v>
      </c>
      <c r="F287" s="14">
        <v>52.5</v>
      </c>
      <c r="G287" s="74">
        <v>50</v>
      </c>
      <c r="H287" s="241">
        <v>2.5</v>
      </c>
      <c r="I287" s="14"/>
      <c r="J287" s="25">
        <f t="shared" si="24"/>
        <v>52.5</v>
      </c>
      <c r="K287" s="32"/>
      <c r="L287" s="33">
        <f t="shared" si="21"/>
        <v>0</v>
      </c>
      <c r="M287" s="215"/>
      <c r="N287" s="6"/>
    </row>
    <row r="288" spans="1:14" ht="15.75">
      <c r="A288" s="136">
        <f t="shared" si="22"/>
        <v>33</v>
      </c>
      <c r="B288" s="19" t="s">
        <v>854</v>
      </c>
      <c r="C288" s="19" t="s">
        <v>1029</v>
      </c>
      <c r="D288" s="19">
        <v>101725</v>
      </c>
      <c r="E288" s="355" t="s">
        <v>855</v>
      </c>
      <c r="F288" s="14">
        <v>105</v>
      </c>
      <c r="G288" s="20">
        <v>100</v>
      </c>
      <c r="H288" s="383">
        <v>5</v>
      </c>
      <c r="I288" s="14"/>
      <c r="J288" s="25">
        <f t="shared" si="24"/>
        <v>105</v>
      </c>
      <c r="K288" s="32"/>
      <c r="L288" s="33">
        <f t="shared" si="21"/>
        <v>0</v>
      </c>
      <c r="M288" s="215"/>
      <c r="N288" s="6"/>
    </row>
    <row r="289" spans="1:14" ht="15.75">
      <c r="A289" s="136">
        <f t="shared" si="22"/>
        <v>34</v>
      </c>
      <c r="B289" s="19" t="s">
        <v>856</v>
      </c>
      <c r="C289" s="19" t="s">
        <v>1029</v>
      </c>
      <c r="D289" s="19">
        <v>101723</v>
      </c>
      <c r="E289" s="355" t="s">
        <v>857</v>
      </c>
      <c r="F289" s="14">
        <v>155.6</v>
      </c>
      <c r="G289" s="20">
        <v>100</v>
      </c>
      <c r="H289" s="383">
        <v>5</v>
      </c>
      <c r="I289" s="14">
        <v>50.6</v>
      </c>
      <c r="J289" s="25">
        <f t="shared" si="24"/>
        <v>155.6</v>
      </c>
      <c r="K289" s="32"/>
      <c r="L289" s="33">
        <f t="shared" si="21"/>
        <v>0</v>
      </c>
      <c r="M289" s="215"/>
      <c r="N289" s="40"/>
    </row>
    <row r="290" spans="1:14" ht="15.75">
      <c r="A290" s="136">
        <f t="shared" si="22"/>
        <v>35</v>
      </c>
      <c r="B290" s="19" t="s">
        <v>47</v>
      </c>
      <c r="C290" s="19" t="s">
        <v>1029</v>
      </c>
      <c r="D290" s="19">
        <v>101883</v>
      </c>
      <c r="E290" s="356" t="s">
        <v>859</v>
      </c>
      <c r="F290" s="14">
        <v>52.5</v>
      </c>
      <c r="G290" s="53">
        <v>50</v>
      </c>
      <c r="H290" s="381">
        <v>2.5</v>
      </c>
      <c r="I290" s="14"/>
      <c r="J290" s="25">
        <f t="shared" si="24"/>
        <v>52.5</v>
      </c>
      <c r="K290" s="32"/>
      <c r="L290" s="33">
        <f t="shared" si="21"/>
        <v>0</v>
      </c>
      <c r="M290" s="37"/>
      <c r="N290" s="6"/>
    </row>
    <row r="291" spans="1:14" ht="15.75">
      <c r="A291" s="136">
        <f t="shared" si="22"/>
        <v>36</v>
      </c>
      <c r="B291" s="19" t="s">
        <v>866</v>
      </c>
      <c r="C291" s="19" t="s">
        <v>1029</v>
      </c>
      <c r="D291" s="19">
        <v>101763</v>
      </c>
      <c r="E291" s="356" t="s">
        <v>867</v>
      </c>
      <c r="F291" s="14">
        <v>105</v>
      </c>
      <c r="G291" s="53">
        <v>100</v>
      </c>
      <c r="H291" s="381">
        <v>5</v>
      </c>
      <c r="I291" s="14"/>
      <c r="J291" s="25">
        <f t="shared" si="24"/>
        <v>105</v>
      </c>
      <c r="K291" s="32"/>
      <c r="L291" s="33">
        <f t="shared" si="21"/>
        <v>0</v>
      </c>
      <c r="M291" s="215"/>
      <c r="N291" s="6"/>
    </row>
    <row r="292" spans="1:14" ht="15.75">
      <c r="A292" s="136">
        <f t="shared" si="22"/>
        <v>37</v>
      </c>
      <c r="B292" s="19" t="s">
        <v>868</v>
      </c>
      <c r="C292" s="19" t="s">
        <v>1029</v>
      </c>
      <c r="D292" s="19">
        <v>101843</v>
      </c>
      <c r="E292" s="356" t="s">
        <v>869</v>
      </c>
      <c r="F292" s="14">
        <v>52.5</v>
      </c>
      <c r="G292" s="53">
        <v>50</v>
      </c>
      <c r="H292" s="381">
        <v>2.5</v>
      </c>
      <c r="I292" s="14"/>
      <c r="J292" s="25">
        <f t="shared" si="24"/>
        <v>52.5</v>
      </c>
      <c r="K292" s="32"/>
      <c r="L292" s="33">
        <f t="shared" si="21"/>
        <v>0</v>
      </c>
      <c r="M292" s="37"/>
      <c r="N292" s="40"/>
    </row>
    <row r="293" spans="1:14" ht="15.75">
      <c r="A293" s="136">
        <f t="shared" si="22"/>
        <v>38</v>
      </c>
      <c r="B293" s="19" t="s">
        <v>870</v>
      </c>
      <c r="C293" s="19" t="s">
        <v>1029</v>
      </c>
      <c r="D293" s="19">
        <v>101771</v>
      </c>
      <c r="E293" s="356" t="s">
        <v>871</v>
      </c>
      <c r="F293" s="14">
        <v>105</v>
      </c>
      <c r="G293" s="53">
        <v>100</v>
      </c>
      <c r="H293" s="381">
        <v>5</v>
      </c>
      <c r="I293" s="14"/>
      <c r="J293" s="25">
        <f t="shared" si="24"/>
        <v>105</v>
      </c>
      <c r="K293" s="32"/>
      <c r="L293" s="33">
        <f t="shared" si="21"/>
        <v>0</v>
      </c>
      <c r="M293" s="215"/>
      <c r="N293" s="40"/>
    </row>
    <row r="294" spans="1:14" ht="15.75">
      <c r="A294" s="136">
        <f t="shared" si="22"/>
        <v>39</v>
      </c>
      <c r="B294" s="19" t="s">
        <v>872</v>
      </c>
      <c r="C294" s="19" t="s">
        <v>1029</v>
      </c>
      <c r="D294" s="19">
        <v>101772</v>
      </c>
      <c r="E294" s="356" t="s">
        <v>873</v>
      </c>
      <c r="F294" s="14">
        <v>105</v>
      </c>
      <c r="G294" s="53">
        <v>100</v>
      </c>
      <c r="H294" s="381">
        <v>5</v>
      </c>
      <c r="I294" s="14"/>
      <c r="J294" s="25">
        <f t="shared" si="24"/>
        <v>105</v>
      </c>
      <c r="K294" s="32"/>
      <c r="L294" s="33">
        <f t="shared" si="21"/>
        <v>0</v>
      </c>
      <c r="M294" s="215"/>
      <c r="N294" s="40"/>
    </row>
    <row r="295" spans="1:14" ht="15.75">
      <c r="A295" s="136">
        <f t="shared" si="22"/>
        <v>40</v>
      </c>
      <c r="B295" s="19" t="s">
        <v>874</v>
      </c>
      <c r="C295" s="19" t="s">
        <v>1029</v>
      </c>
      <c r="D295" s="19">
        <v>101817</v>
      </c>
      <c r="E295" s="354" t="s">
        <v>875</v>
      </c>
      <c r="F295" s="14">
        <v>52.5</v>
      </c>
      <c r="G295" s="53">
        <v>50</v>
      </c>
      <c r="H295" s="381">
        <v>2.5</v>
      </c>
      <c r="I295" s="14"/>
      <c r="J295" s="25">
        <f t="shared" si="24"/>
        <v>52.5</v>
      </c>
      <c r="K295" s="32"/>
      <c r="L295" s="33">
        <f t="shared" si="21"/>
        <v>0</v>
      </c>
      <c r="M295" s="37"/>
      <c r="N295" s="58"/>
    </row>
    <row r="296" spans="1:14" ht="15.75">
      <c r="A296" s="136">
        <f t="shared" si="22"/>
        <v>41</v>
      </c>
      <c r="B296" s="132" t="s">
        <v>708</v>
      </c>
      <c r="C296" s="197" t="s">
        <v>1029</v>
      </c>
      <c r="D296" s="197">
        <v>105098</v>
      </c>
      <c r="E296" s="356" t="s">
        <v>709</v>
      </c>
      <c r="F296" s="14">
        <v>52.5</v>
      </c>
      <c r="G296" s="238">
        <v>50</v>
      </c>
      <c r="H296" s="131">
        <v>2.5</v>
      </c>
      <c r="I296" s="14"/>
      <c r="J296" s="18">
        <f>SUM(G296+H296+I296)</f>
        <v>52.5</v>
      </c>
      <c r="K296" s="32"/>
      <c r="L296" s="33">
        <f>+(F296-((SUM(J296+K296))))</f>
        <v>0</v>
      </c>
      <c r="M296" s="215"/>
      <c r="N296" s="59" t="s">
        <v>525</v>
      </c>
    </row>
    <row r="297" spans="1:14" ht="15.75">
      <c r="A297" s="136">
        <f t="shared" si="22"/>
        <v>42</v>
      </c>
      <c r="B297" s="19" t="s">
        <v>876</v>
      </c>
      <c r="C297" s="19" t="s">
        <v>1029</v>
      </c>
      <c r="D297" s="19">
        <v>101816</v>
      </c>
      <c r="E297" s="356" t="s">
        <v>877</v>
      </c>
      <c r="F297" s="14">
        <v>105</v>
      </c>
      <c r="G297" s="74">
        <v>100</v>
      </c>
      <c r="H297" s="54">
        <v>5</v>
      </c>
      <c r="I297" s="14"/>
      <c r="J297" s="25">
        <f t="shared" si="24"/>
        <v>105</v>
      </c>
      <c r="K297" s="32"/>
      <c r="L297" s="33">
        <f t="shared" si="21"/>
        <v>0</v>
      </c>
      <c r="M297" s="215"/>
      <c r="N297" s="60" t="s">
        <v>79</v>
      </c>
    </row>
    <row r="298" spans="1:14" ht="15.75">
      <c r="A298" s="136">
        <f t="shared" si="22"/>
        <v>43</v>
      </c>
      <c r="B298" s="19" t="s">
        <v>882</v>
      </c>
      <c r="C298" s="19" t="s">
        <v>1029</v>
      </c>
      <c r="D298" s="19">
        <v>101829</v>
      </c>
      <c r="E298" s="356" t="s">
        <v>1032</v>
      </c>
      <c r="F298" s="14">
        <v>52.5</v>
      </c>
      <c r="G298" s="74">
        <v>50</v>
      </c>
      <c r="H298" s="54">
        <v>2.5</v>
      </c>
      <c r="I298" s="14"/>
      <c r="J298" s="25">
        <f t="shared" si="24"/>
        <v>52.5</v>
      </c>
      <c r="K298" s="32"/>
      <c r="L298" s="33">
        <f t="shared" si="21"/>
        <v>0</v>
      </c>
      <c r="M298" s="215"/>
      <c r="N298" s="40"/>
    </row>
    <row r="299" spans="1:14" ht="15.75">
      <c r="A299" s="136">
        <f t="shared" si="22"/>
        <v>44</v>
      </c>
      <c r="B299" s="116" t="s">
        <v>892</v>
      </c>
      <c r="C299" s="19" t="s">
        <v>1029</v>
      </c>
      <c r="D299" s="19">
        <v>101856</v>
      </c>
      <c r="E299" s="356" t="s">
        <v>893</v>
      </c>
      <c r="F299" s="14">
        <v>52.5</v>
      </c>
      <c r="G299" s="74">
        <v>50</v>
      </c>
      <c r="H299" s="54">
        <v>2.5</v>
      </c>
      <c r="I299" s="14"/>
      <c r="J299" s="25">
        <f t="shared" si="24"/>
        <v>52.5</v>
      </c>
      <c r="K299" s="32"/>
      <c r="L299" s="33">
        <f t="shared" si="21"/>
        <v>0</v>
      </c>
      <c r="M299" s="215"/>
      <c r="N299" s="40"/>
    </row>
    <row r="300" spans="1:14" ht="15.75">
      <c r="A300" s="136">
        <f t="shared" si="22"/>
        <v>45</v>
      </c>
      <c r="B300" s="116" t="s">
        <v>894</v>
      </c>
      <c r="C300" s="19" t="s">
        <v>1029</v>
      </c>
      <c r="D300" s="19">
        <v>101876</v>
      </c>
      <c r="E300" s="356" t="s">
        <v>895</v>
      </c>
      <c r="F300" s="14">
        <v>52.5</v>
      </c>
      <c r="G300" s="74">
        <v>50</v>
      </c>
      <c r="H300" s="54">
        <v>2.5</v>
      </c>
      <c r="I300" s="14"/>
      <c r="J300" s="25">
        <f t="shared" si="24"/>
        <v>52.5</v>
      </c>
      <c r="K300" s="32"/>
      <c r="L300" s="33">
        <f t="shared" si="21"/>
        <v>0</v>
      </c>
      <c r="M300" s="215"/>
      <c r="N300" s="40"/>
    </row>
    <row r="301" spans="1:14" ht="15.75">
      <c r="A301" s="136">
        <f t="shared" si="22"/>
        <v>46</v>
      </c>
      <c r="B301" s="116" t="s">
        <v>896</v>
      </c>
      <c r="C301" s="19" t="s">
        <v>1029</v>
      </c>
      <c r="D301" s="19">
        <v>101877</v>
      </c>
      <c r="E301" s="356" t="s">
        <v>1033</v>
      </c>
      <c r="F301" s="14">
        <v>52.5</v>
      </c>
      <c r="G301" s="74">
        <v>50</v>
      </c>
      <c r="H301" s="54">
        <v>2.5</v>
      </c>
      <c r="I301" s="14"/>
      <c r="J301" s="25">
        <f t="shared" si="24"/>
        <v>52.5</v>
      </c>
      <c r="K301" s="32"/>
      <c r="L301" s="33">
        <f t="shared" si="21"/>
        <v>0</v>
      </c>
      <c r="M301" s="215"/>
      <c r="N301" s="40"/>
    </row>
    <row r="302" spans="1:14" ht="15.75">
      <c r="A302" s="136">
        <f t="shared" si="22"/>
        <v>47</v>
      </c>
      <c r="B302" s="19" t="s">
        <v>906</v>
      </c>
      <c r="C302" s="19" t="s">
        <v>1029</v>
      </c>
      <c r="D302" s="19">
        <v>101898</v>
      </c>
      <c r="E302" s="356" t="s">
        <v>907</v>
      </c>
      <c r="F302" s="14">
        <v>84</v>
      </c>
      <c r="G302" s="74">
        <v>50</v>
      </c>
      <c r="H302" s="54">
        <v>2.5</v>
      </c>
      <c r="I302" s="14"/>
      <c r="J302" s="25">
        <f t="shared" si="24"/>
        <v>52.5</v>
      </c>
      <c r="K302" s="162">
        <v>31.5</v>
      </c>
      <c r="L302" s="33">
        <f t="shared" si="21"/>
        <v>0</v>
      </c>
      <c r="M302" s="215" t="s">
        <v>947</v>
      </c>
      <c r="N302" s="195"/>
    </row>
    <row r="303" spans="1:14" ht="15.75">
      <c r="A303" s="136">
        <f t="shared" si="22"/>
        <v>48</v>
      </c>
      <c r="B303" s="19" t="s">
        <v>910</v>
      </c>
      <c r="C303" s="19" t="s">
        <v>1029</v>
      </c>
      <c r="D303" s="19">
        <v>101892</v>
      </c>
      <c r="E303" s="356" t="s">
        <v>911</v>
      </c>
      <c r="F303" s="14">
        <v>105</v>
      </c>
      <c r="G303" s="74">
        <v>100</v>
      </c>
      <c r="H303" s="54">
        <v>5</v>
      </c>
      <c r="I303" s="14"/>
      <c r="J303" s="25">
        <f t="shared" si="24"/>
        <v>105</v>
      </c>
      <c r="K303" s="32"/>
      <c r="L303" s="33">
        <f t="shared" si="21"/>
        <v>0</v>
      </c>
      <c r="M303" s="215"/>
      <c r="N303" s="194"/>
    </row>
    <row r="304" spans="1:14" ht="15.75">
      <c r="A304" s="136">
        <f t="shared" si="22"/>
        <v>49</v>
      </c>
      <c r="B304" s="19" t="s">
        <v>912</v>
      </c>
      <c r="C304" s="19" t="s">
        <v>1029</v>
      </c>
      <c r="D304" s="19">
        <v>101889</v>
      </c>
      <c r="E304" s="356" t="s">
        <v>913</v>
      </c>
      <c r="F304" s="14">
        <v>52.5</v>
      </c>
      <c r="G304" s="74">
        <v>50</v>
      </c>
      <c r="H304" s="54">
        <v>2.5</v>
      </c>
      <c r="I304" s="14"/>
      <c r="J304" s="25">
        <f t="shared" si="24"/>
        <v>52.5</v>
      </c>
      <c r="K304" s="32"/>
      <c r="L304" s="33">
        <f t="shared" si="21"/>
        <v>0</v>
      </c>
      <c r="M304" s="215"/>
      <c r="N304" s="6" t="s">
        <v>539</v>
      </c>
    </row>
    <row r="305" spans="1:14" ht="15.75">
      <c r="A305" s="136">
        <f t="shared" si="22"/>
        <v>50</v>
      </c>
      <c r="B305" s="19" t="s">
        <v>916</v>
      </c>
      <c r="C305" s="19" t="s">
        <v>1029</v>
      </c>
      <c r="D305" s="19">
        <v>101884</v>
      </c>
      <c r="E305" s="356" t="s">
        <v>917</v>
      </c>
      <c r="F305" s="14">
        <v>52.5</v>
      </c>
      <c r="G305" s="74">
        <v>50</v>
      </c>
      <c r="H305" s="54">
        <v>2.5</v>
      </c>
      <c r="I305" s="14"/>
      <c r="J305" s="25">
        <f>SUM(G305+H305+I305)</f>
        <v>52.5</v>
      </c>
      <c r="K305" s="32"/>
      <c r="L305" s="33">
        <f t="shared" si="21"/>
        <v>0</v>
      </c>
      <c r="M305" s="215"/>
      <c r="N305" s="6" t="s">
        <v>542</v>
      </c>
    </row>
    <row r="306" spans="1:14" ht="15.75">
      <c r="A306" s="136">
        <f t="shared" si="22"/>
        <v>51</v>
      </c>
      <c r="B306" s="132" t="s">
        <v>631</v>
      </c>
      <c r="C306" s="197" t="s">
        <v>1029</v>
      </c>
      <c r="D306" s="197">
        <v>105115</v>
      </c>
      <c r="E306" s="356" t="s">
        <v>632</v>
      </c>
      <c r="F306" s="14">
        <v>52.5</v>
      </c>
      <c r="G306" s="238">
        <v>50</v>
      </c>
      <c r="H306" s="131">
        <v>2.5</v>
      </c>
      <c r="I306" s="14"/>
      <c r="J306" s="18">
        <f>SUM(G306+H306+I306)</f>
        <v>52.5</v>
      </c>
      <c r="K306" s="32"/>
      <c r="L306" s="33">
        <f t="shared" si="21"/>
        <v>0</v>
      </c>
      <c r="M306" s="215"/>
      <c r="N306" s="40"/>
    </row>
    <row r="307" spans="1:14" ht="15.75">
      <c r="A307" s="136">
        <f t="shared" si="22"/>
        <v>52</v>
      </c>
      <c r="B307" s="132" t="s">
        <v>922</v>
      </c>
      <c r="C307" s="197" t="s">
        <v>1029</v>
      </c>
      <c r="D307" s="197">
        <v>105105</v>
      </c>
      <c r="E307" s="356" t="s">
        <v>1034</v>
      </c>
      <c r="F307" s="14">
        <v>52.5</v>
      </c>
      <c r="G307" s="238">
        <v>50</v>
      </c>
      <c r="H307" s="131">
        <v>2.5</v>
      </c>
      <c r="I307" s="14"/>
      <c r="J307" s="18">
        <f>SUM(G307+H307+I307)</f>
        <v>52.5</v>
      </c>
      <c r="K307" s="32"/>
      <c r="L307" s="33">
        <f t="shared" si="21"/>
        <v>0</v>
      </c>
      <c r="M307" s="215"/>
      <c r="N307" s="40"/>
    </row>
    <row r="308" spans="1:14" ht="15.75">
      <c r="A308" s="136">
        <f t="shared" si="22"/>
        <v>53</v>
      </c>
      <c r="B308" s="301" t="s">
        <v>1052</v>
      </c>
      <c r="C308" s="197" t="s">
        <v>1029</v>
      </c>
      <c r="D308" s="19">
        <v>101041</v>
      </c>
      <c r="E308" s="316" t="s">
        <v>1024</v>
      </c>
      <c r="F308" s="14">
        <v>52.5</v>
      </c>
      <c r="G308" s="238">
        <v>50</v>
      </c>
      <c r="H308" s="131">
        <v>2.5</v>
      </c>
      <c r="I308" s="14"/>
      <c r="J308" s="18">
        <f t="shared" ref="J308" si="25">SUM(G308+H308+I308)</f>
        <v>52.5</v>
      </c>
      <c r="K308" s="32"/>
      <c r="L308" s="33">
        <f t="shared" si="21"/>
        <v>0</v>
      </c>
      <c r="M308" s="215"/>
      <c r="N308" s="40"/>
    </row>
    <row r="309" spans="1:14" ht="15.75">
      <c r="A309" s="136">
        <f t="shared" si="22"/>
        <v>54</v>
      </c>
      <c r="B309" s="301" t="s">
        <v>1060</v>
      </c>
      <c r="C309" s="197" t="s">
        <v>1029</v>
      </c>
      <c r="D309" s="197">
        <v>105581</v>
      </c>
      <c r="E309" s="356" t="s">
        <v>1061</v>
      </c>
      <c r="F309" s="14">
        <v>119.7</v>
      </c>
      <c r="G309" s="238">
        <v>100</v>
      </c>
      <c r="H309" s="131">
        <v>5</v>
      </c>
      <c r="I309" s="14">
        <v>14.7</v>
      </c>
      <c r="J309" s="18">
        <f>SUM(G309+H309+I309)</f>
        <v>119.7</v>
      </c>
      <c r="K309" s="32"/>
      <c r="L309" s="33">
        <f>+(F309-((SUM(J309+K309))))</f>
        <v>0</v>
      </c>
      <c r="M309" s="215"/>
      <c r="N309" s="6"/>
    </row>
    <row r="310" spans="1:14" ht="15.75">
      <c r="A310" s="136">
        <f t="shared" si="22"/>
        <v>55</v>
      </c>
      <c r="B310" s="301" t="s">
        <v>1062</v>
      </c>
      <c r="C310" s="197" t="s">
        <v>1029</v>
      </c>
      <c r="D310" s="197">
        <v>105580</v>
      </c>
      <c r="E310" s="356" t="s">
        <v>1063</v>
      </c>
      <c r="F310" s="14">
        <v>105</v>
      </c>
      <c r="G310" s="238">
        <v>100</v>
      </c>
      <c r="H310" s="131">
        <v>5</v>
      </c>
      <c r="I310" s="14"/>
      <c r="J310" s="18">
        <f>SUM(G310+H310+I310)</f>
        <v>105</v>
      </c>
      <c r="K310" s="32"/>
      <c r="L310" s="33">
        <f>+(F310-((SUM(J310+K310))))</f>
        <v>0</v>
      </c>
      <c r="M310" s="215"/>
      <c r="N310" s="40"/>
    </row>
    <row r="311" spans="1:14" ht="15.75">
      <c r="A311" s="136">
        <f t="shared" si="22"/>
        <v>56</v>
      </c>
      <c r="B311" s="301" t="s">
        <v>1064</v>
      </c>
      <c r="C311" s="197"/>
      <c r="D311" s="197"/>
      <c r="E311" s="356" t="s">
        <v>1065</v>
      </c>
      <c r="F311" s="14">
        <v>217.64</v>
      </c>
      <c r="G311" s="238">
        <v>200</v>
      </c>
      <c r="H311" s="131">
        <v>10</v>
      </c>
      <c r="I311" s="14">
        <v>7.64</v>
      </c>
      <c r="J311" s="18">
        <f t="shared" ref="J311" si="26">SUM(G311+H311+I311)</f>
        <v>217.64</v>
      </c>
      <c r="K311" s="32"/>
      <c r="L311" s="33">
        <f t="shared" si="21"/>
        <v>0</v>
      </c>
      <c r="M311" s="215"/>
      <c r="N311" s="195"/>
    </row>
    <row r="312" spans="1:14" ht="15.75">
      <c r="A312" s="136">
        <f t="shared" si="22"/>
        <v>57</v>
      </c>
      <c r="B312" s="301" t="s">
        <v>595</v>
      </c>
      <c r="C312" s="197"/>
      <c r="D312" s="197"/>
      <c r="E312" s="356" t="s">
        <v>1066</v>
      </c>
      <c r="F312" s="14">
        <v>6.41</v>
      </c>
      <c r="G312" s="238">
        <v>5</v>
      </c>
      <c r="H312" s="131">
        <v>1.41</v>
      </c>
      <c r="I312" s="14"/>
      <c r="J312" s="18">
        <f>SUM(G312+H312+I312)</f>
        <v>6.41</v>
      </c>
      <c r="K312" s="32"/>
      <c r="L312" s="33">
        <f>+(F312-((SUM(J312+K312))))</f>
        <v>0</v>
      </c>
      <c r="M312" s="215"/>
      <c r="N312" s="6"/>
    </row>
    <row r="313" spans="1:14" ht="15.75">
      <c r="A313" s="136">
        <f t="shared" si="22"/>
        <v>58</v>
      </c>
      <c r="B313" s="116" t="s">
        <v>884</v>
      </c>
      <c r="C313" s="19"/>
      <c r="D313" s="19"/>
      <c r="E313" s="356" t="s">
        <v>885</v>
      </c>
      <c r="F313" s="14">
        <v>313.95</v>
      </c>
      <c r="G313" s="74">
        <v>299</v>
      </c>
      <c r="H313" s="54">
        <v>14.95</v>
      </c>
      <c r="I313" s="14"/>
      <c r="J313" s="25">
        <f>SUM(G313+H313+I313)</f>
        <v>313.95</v>
      </c>
      <c r="K313" s="32"/>
      <c r="L313" s="33">
        <f>+(F313-((SUM(J313+K313))))</f>
        <v>0</v>
      </c>
      <c r="M313" s="215"/>
      <c r="N313" s="6" t="s">
        <v>559</v>
      </c>
    </row>
    <row r="314" spans="1:14" ht="15.75">
      <c r="A314" s="136">
        <f t="shared" si="22"/>
        <v>59</v>
      </c>
      <c r="B314" s="116" t="s">
        <v>886</v>
      </c>
      <c r="C314" s="19"/>
      <c r="D314" s="19"/>
      <c r="E314" s="356" t="s">
        <v>887</v>
      </c>
      <c r="F314" s="14">
        <v>210</v>
      </c>
      <c r="G314" s="74">
        <v>200</v>
      </c>
      <c r="H314" s="54">
        <v>10</v>
      </c>
      <c r="I314" s="14"/>
      <c r="J314" s="25">
        <f>SUM(G314+H314+I314)</f>
        <v>210</v>
      </c>
      <c r="K314" s="179"/>
      <c r="L314" s="33">
        <f>+(F314-((SUM(J314+K314))))</f>
        <v>0</v>
      </c>
      <c r="M314" s="217"/>
      <c r="N314" s="6"/>
    </row>
    <row r="315" spans="1:14" ht="15.75">
      <c r="A315" s="136">
        <f t="shared" si="22"/>
        <v>60</v>
      </c>
      <c r="B315" s="132" t="s">
        <v>1106</v>
      </c>
      <c r="C315" s="19"/>
      <c r="D315" s="19"/>
      <c r="E315" s="356" t="s">
        <v>1107</v>
      </c>
      <c r="F315" s="14">
        <v>0</v>
      </c>
      <c r="G315" s="238">
        <v>0</v>
      </c>
      <c r="H315" s="131">
        <v>0</v>
      </c>
      <c r="I315" s="14"/>
      <c r="J315" s="18">
        <f>SUM(G315+H315+I315)</f>
        <v>0</v>
      </c>
      <c r="K315" s="32"/>
      <c r="L315" s="33">
        <f t="shared" si="21"/>
        <v>0</v>
      </c>
      <c r="M315" s="217"/>
    </row>
    <row r="316" spans="1:14" ht="16.5" thickBot="1">
      <c r="A316" s="136">
        <f t="shared" si="22"/>
        <v>61</v>
      </c>
      <c r="B316" s="19" t="s">
        <v>926</v>
      </c>
      <c r="C316" s="19"/>
      <c r="D316" s="19">
        <v>105611</v>
      </c>
      <c r="E316" s="356" t="s">
        <v>1108</v>
      </c>
      <c r="F316" s="14">
        <v>52.5</v>
      </c>
      <c r="G316" s="53">
        <v>50</v>
      </c>
      <c r="H316" s="54">
        <v>2.5</v>
      </c>
      <c r="I316" s="14"/>
      <c r="J316" s="18">
        <f>SUM(G316+H316+I316)</f>
        <v>52.5</v>
      </c>
      <c r="K316" s="32"/>
      <c r="L316" s="33">
        <f>+(F316-((SUM(J316+K316))))</f>
        <v>0</v>
      </c>
      <c r="M316" s="215"/>
      <c r="N316" s="6"/>
    </row>
    <row r="317" spans="1:14" ht="16.5" thickBot="1">
      <c r="A317" s="142"/>
      <c r="B317" s="143"/>
      <c r="C317" s="143"/>
      <c r="D317" s="338"/>
      <c r="E317" s="143"/>
      <c r="F317" s="253">
        <f t="shared" ref="F317:L317" si="27">SUM(F256:F316)</f>
        <v>7821.3800000000019</v>
      </c>
      <c r="G317" s="253">
        <f t="shared" ref="G317" si="28">SUM(G256:G316)</f>
        <v>5814</v>
      </c>
      <c r="H317" s="253">
        <f t="shared" ref="H317" si="29">SUM(H256:H316)</f>
        <v>292.01</v>
      </c>
      <c r="I317" s="253">
        <f t="shared" ref="I317" si="30">SUM(I256:I316)</f>
        <v>1621.2700000000002</v>
      </c>
      <c r="J317" s="253">
        <f t="shared" ref="J317" si="31">SUM(J256:J316)</f>
        <v>7727.2800000000016</v>
      </c>
      <c r="K317" s="253">
        <f t="shared" ref="K317" si="32">SUM(K256:K316)</f>
        <v>94.1</v>
      </c>
      <c r="L317" s="253">
        <f t="shared" si="27"/>
        <v>8.5265128291212022E-14</v>
      </c>
      <c r="M317" s="219"/>
    </row>
    <row r="318" spans="1:14" ht="16.5" thickBot="1">
      <c r="A318" s="289"/>
      <c r="B318" s="290" t="s">
        <v>398</v>
      </c>
      <c r="C318" s="291"/>
      <c r="D318" s="339"/>
      <c r="E318" s="326"/>
      <c r="F318" s="293"/>
      <c r="G318" s="292"/>
      <c r="H318" s="292"/>
      <c r="I318" s="292"/>
      <c r="J318" s="292"/>
      <c r="K318" s="292"/>
      <c r="L318" s="292"/>
      <c r="M318" s="294"/>
      <c r="N318" s="6"/>
    </row>
    <row r="319" spans="1:14" ht="15.75">
      <c r="A319" s="285">
        <v>1</v>
      </c>
      <c r="B319" s="145" t="s">
        <v>924</v>
      </c>
      <c r="C319" s="145" t="s">
        <v>398</v>
      </c>
      <c r="D319" s="145">
        <v>101766</v>
      </c>
      <c r="E319" s="370" t="s">
        <v>925</v>
      </c>
      <c r="F319" s="256">
        <v>210</v>
      </c>
      <c r="G319" s="287">
        <v>200</v>
      </c>
      <c r="H319" s="288">
        <v>10</v>
      </c>
      <c r="I319" s="256"/>
      <c r="J319" s="46">
        <f t="shared" ref="J319:J323" si="33">SUM(G319+H319+I319)</f>
        <v>210</v>
      </c>
      <c r="K319" s="146"/>
      <c r="L319" s="47">
        <f t="shared" ref="L319:L323" si="34">+(F319-((SUM(J319+K319))))</f>
        <v>0</v>
      </c>
      <c r="M319" s="221"/>
      <c r="N319" s="6"/>
    </row>
    <row r="320" spans="1:14" ht="15.75">
      <c r="A320" s="11">
        <v>2</v>
      </c>
      <c r="B320" s="19" t="s">
        <v>399</v>
      </c>
      <c r="C320" s="145" t="s">
        <v>398</v>
      </c>
      <c r="D320" s="19">
        <v>101514</v>
      </c>
      <c r="E320" s="356" t="s">
        <v>400</v>
      </c>
      <c r="F320" s="14">
        <v>52.5</v>
      </c>
      <c r="G320" s="74">
        <v>50</v>
      </c>
      <c r="H320" s="75">
        <v>2.5</v>
      </c>
      <c r="I320" s="14"/>
      <c r="J320" s="18">
        <f t="shared" si="33"/>
        <v>52.5</v>
      </c>
      <c r="K320" s="32"/>
      <c r="L320" s="33">
        <f t="shared" si="34"/>
        <v>0</v>
      </c>
      <c r="M320" s="37"/>
      <c r="N320" s="6"/>
    </row>
    <row r="321" spans="1:14" ht="15.75">
      <c r="A321" s="11">
        <f t="shared" ref="A321:A328" si="35">1+A320</f>
        <v>3</v>
      </c>
      <c r="B321" s="19" t="s">
        <v>411</v>
      </c>
      <c r="C321" s="145" t="s">
        <v>398</v>
      </c>
      <c r="D321" s="19">
        <v>101384</v>
      </c>
      <c r="E321" s="356" t="s">
        <v>412</v>
      </c>
      <c r="F321" s="14">
        <v>52.5</v>
      </c>
      <c r="G321" s="74">
        <v>50</v>
      </c>
      <c r="H321" s="75">
        <v>2.5</v>
      </c>
      <c r="I321" s="14"/>
      <c r="J321" s="18">
        <f t="shared" si="33"/>
        <v>52.5</v>
      </c>
      <c r="K321" s="32"/>
      <c r="L321" s="33">
        <f t="shared" si="34"/>
        <v>0</v>
      </c>
      <c r="M321" s="215"/>
      <c r="N321" s="6"/>
    </row>
    <row r="322" spans="1:14" ht="15.75">
      <c r="A322" s="11">
        <f t="shared" si="35"/>
        <v>4</v>
      </c>
      <c r="B322" s="19" t="s">
        <v>931</v>
      </c>
      <c r="C322" s="145" t="s">
        <v>398</v>
      </c>
      <c r="D322" s="19">
        <v>101350</v>
      </c>
      <c r="E322" s="356" t="s">
        <v>932</v>
      </c>
      <c r="F322" s="14">
        <v>52.5</v>
      </c>
      <c r="G322" s="20">
        <v>50</v>
      </c>
      <c r="H322" s="21">
        <v>2.5</v>
      </c>
      <c r="I322" s="14"/>
      <c r="J322" s="18">
        <f t="shared" si="33"/>
        <v>52.5</v>
      </c>
      <c r="K322" s="32"/>
      <c r="L322" s="33">
        <f t="shared" si="34"/>
        <v>0</v>
      </c>
      <c r="M322" s="215"/>
      <c r="N322" s="6"/>
    </row>
    <row r="323" spans="1:14" ht="15.75">
      <c r="A323" s="11">
        <f t="shared" si="35"/>
        <v>5</v>
      </c>
      <c r="B323" s="19" t="s">
        <v>933</v>
      </c>
      <c r="C323" s="145" t="s">
        <v>398</v>
      </c>
      <c r="D323" s="19">
        <v>101775</v>
      </c>
      <c r="E323" s="356" t="s">
        <v>934</v>
      </c>
      <c r="F323" s="14">
        <v>52.5</v>
      </c>
      <c r="G323" s="53">
        <v>50</v>
      </c>
      <c r="H323" s="54">
        <v>2.5</v>
      </c>
      <c r="I323" s="14"/>
      <c r="J323" s="18">
        <f t="shared" si="33"/>
        <v>52.5</v>
      </c>
      <c r="K323" s="32"/>
      <c r="L323" s="33">
        <f t="shared" si="34"/>
        <v>0</v>
      </c>
      <c r="M323" s="215"/>
      <c r="N323" s="6"/>
    </row>
    <row r="324" spans="1:14" ht="15.75">
      <c r="A324" s="11">
        <f t="shared" si="35"/>
        <v>6</v>
      </c>
      <c r="B324" s="19" t="s">
        <v>937</v>
      </c>
      <c r="C324" s="145" t="s">
        <v>398</v>
      </c>
      <c r="D324" s="19">
        <v>101764</v>
      </c>
      <c r="E324" s="356" t="s">
        <v>938</v>
      </c>
      <c r="F324" s="14">
        <v>105</v>
      </c>
      <c r="G324" s="53">
        <v>100</v>
      </c>
      <c r="H324" s="54">
        <v>5</v>
      </c>
      <c r="I324" s="14"/>
      <c r="J324" s="18">
        <f>SUM(G324+H324+I324)</f>
        <v>105</v>
      </c>
      <c r="K324" s="32"/>
      <c r="L324" s="33">
        <f>+(F324-((SUM(J324+K324))))</f>
        <v>0</v>
      </c>
      <c r="M324" s="215"/>
      <c r="N324" s="6"/>
    </row>
    <row r="325" spans="1:14" ht="15.75">
      <c r="A325" s="11">
        <f t="shared" si="35"/>
        <v>7</v>
      </c>
      <c r="B325" s="19" t="s">
        <v>738</v>
      </c>
      <c r="C325" s="145" t="s">
        <v>398</v>
      </c>
      <c r="D325" s="19">
        <v>101773</v>
      </c>
      <c r="E325" s="355" t="s">
        <v>739</v>
      </c>
      <c r="F325" s="14">
        <v>52.5</v>
      </c>
      <c r="G325" s="74">
        <v>50</v>
      </c>
      <c r="H325" s="75">
        <v>2.5</v>
      </c>
      <c r="I325" s="14"/>
      <c r="J325" s="18">
        <f t="shared" ref="J325:J326" si="36">SUM(G325+H325+I325)</f>
        <v>52.5</v>
      </c>
      <c r="K325" s="32"/>
      <c r="L325" s="36">
        <f>+(F325-((SUM(J325+K325))))</f>
        <v>0</v>
      </c>
      <c r="M325" s="215"/>
      <c r="N325" s="6"/>
    </row>
    <row r="326" spans="1:14" ht="15.75">
      <c r="A326" s="11">
        <f t="shared" si="35"/>
        <v>8</v>
      </c>
      <c r="B326" s="19" t="s">
        <v>914</v>
      </c>
      <c r="C326" s="145" t="s">
        <v>398</v>
      </c>
      <c r="D326" s="19">
        <v>101329</v>
      </c>
      <c r="E326" s="356" t="s">
        <v>915</v>
      </c>
      <c r="F326" s="14">
        <v>52.5</v>
      </c>
      <c r="G326" s="74">
        <v>50</v>
      </c>
      <c r="H326" s="54">
        <v>2.5</v>
      </c>
      <c r="I326" s="14"/>
      <c r="J326" s="18">
        <f t="shared" si="36"/>
        <v>52.5</v>
      </c>
      <c r="K326" s="32"/>
      <c r="L326" s="33">
        <f>+(F326-((SUM(J326+K326))))</f>
        <v>0</v>
      </c>
      <c r="M326" s="215"/>
      <c r="N326" s="6"/>
    </row>
    <row r="327" spans="1:14" ht="15.75">
      <c r="A327" s="11">
        <f t="shared" si="35"/>
        <v>9</v>
      </c>
      <c r="B327" s="132" t="s">
        <v>706</v>
      </c>
      <c r="C327" s="145" t="s">
        <v>398</v>
      </c>
      <c r="D327" s="197">
        <v>105067</v>
      </c>
      <c r="E327" s="356" t="s">
        <v>1035</v>
      </c>
      <c r="F327" s="14">
        <v>52.5</v>
      </c>
      <c r="G327" s="238">
        <v>50</v>
      </c>
      <c r="H327" s="131">
        <v>2.5</v>
      </c>
      <c r="I327" s="14"/>
      <c r="J327" s="18">
        <f>SUM(G327+H327+I327)</f>
        <v>52.5</v>
      </c>
      <c r="K327" s="32"/>
      <c r="L327" s="33">
        <f>+(F327-((SUM(J327+K327))))</f>
        <v>0</v>
      </c>
      <c r="M327" s="215"/>
      <c r="N327" s="6"/>
    </row>
    <row r="328" spans="1:14" ht="15.75">
      <c r="A328" s="11">
        <f t="shared" si="35"/>
        <v>10</v>
      </c>
      <c r="B328" s="19" t="s">
        <v>935</v>
      </c>
      <c r="C328" s="145" t="s">
        <v>398</v>
      </c>
      <c r="D328" s="19">
        <v>101328</v>
      </c>
      <c r="E328" s="380" t="s">
        <v>936</v>
      </c>
      <c r="F328" s="14">
        <v>52.5</v>
      </c>
      <c r="G328" s="20">
        <v>50</v>
      </c>
      <c r="H328" s="21">
        <v>2.5</v>
      </c>
      <c r="I328" s="14"/>
      <c r="J328" s="18">
        <f>SUM(G328+H328+I328)</f>
        <v>52.5</v>
      </c>
      <c r="K328" s="82"/>
      <c r="L328" s="83">
        <f>+(F328-((SUM(J328+K328))))</f>
        <v>0</v>
      </c>
      <c r="M328" s="37"/>
      <c r="N328" s="6"/>
    </row>
    <row r="329" spans="1:14" ht="21.75" thickBot="1">
      <c r="A329" s="205"/>
      <c r="B329" s="206"/>
      <c r="C329" s="207"/>
      <c r="D329" s="340"/>
      <c r="E329" s="207" t="s">
        <v>474</v>
      </c>
      <c r="F329" s="263">
        <f>SUM(F253,F317,F319:F328)</f>
        <v>39445.44000000001</v>
      </c>
      <c r="G329" s="263">
        <f t="shared" ref="G329:L329" si="37">SUM(G253,G317,G319:G328)</f>
        <v>33017.310000000005</v>
      </c>
      <c r="H329" s="263">
        <f t="shared" si="37"/>
        <v>1635.64</v>
      </c>
      <c r="I329" s="263">
        <f t="shared" si="37"/>
        <v>4474.2700000000004</v>
      </c>
      <c r="J329" s="263">
        <f t="shared" si="37"/>
        <v>39127.220000000008</v>
      </c>
      <c r="K329" s="263">
        <f t="shared" si="37"/>
        <v>318.22000000000003</v>
      </c>
      <c r="L329" s="263">
        <f t="shared" si="37"/>
        <v>0</v>
      </c>
      <c r="M329" s="222"/>
      <c r="N329" s="6"/>
    </row>
    <row r="330" spans="1:14" ht="15.75">
      <c r="A330" s="7"/>
      <c r="B330" s="7"/>
      <c r="C330" s="8"/>
      <c r="D330" s="8"/>
      <c r="E330" s="7"/>
      <c r="F330" s="258"/>
      <c r="G330" s="4"/>
      <c r="H330" s="4"/>
      <c r="I330" s="258"/>
      <c r="J330" s="4"/>
      <c r="K330" s="4"/>
      <c r="L330" s="9"/>
      <c r="M330" s="223"/>
      <c r="N330" s="6"/>
    </row>
    <row r="331" spans="1:14" ht="15.75">
      <c r="A331" s="7"/>
      <c r="B331" s="7"/>
      <c r="C331" s="8"/>
      <c r="D331" s="8"/>
      <c r="E331" s="7"/>
      <c r="F331" s="258"/>
      <c r="G331" s="4"/>
      <c r="H331" s="4"/>
      <c r="I331" s="258"/>
      <c r="J331" s="4"/>
      <c r="K331" s="4"/>
      <c r="L331" s="9"/>
      <c r="M331" s="223"/>
      <c r="N331" s="6"/>
    </row>
    <row r="332" spans="1:14" ht="15.75">
      <c r="A332" s="7"/>
      <c r="B332" s="7"/>
      <c r="C332" s="8"/>
      <c r="D332" s="8"/>
      <c r="E332" s="371"/>
      <c r="F332" s="258"/>
      <c r="G332" s="81"/>
      <c r="H332" s="81"/>
      <c r="I332" s="258"/>
      <c r="J332" s="4"/>
      <c r="K332" s="4"/>
      <c r="L332" s="9"/>
      <c r="M332" s="223"/>
      <c r="N332" s="5"/>
    </row>
  </sheetData>
  <autoFilter ref="A2:P329" xr:uid="{DBA97976-7F22-44E8-9EFB-B6682AAEBFCA}"/>
  <mergeCells count="2">
    <mergeCell ref="A1:L1"/>
    <mergeCell ref="M2:M3"/>
  </mergeCells>
  <conditionalFormatting sqref="B153 B58">
    <cfRule type="duplicateValues" dxfId="77" priority="21"/>
  </conditionalFormatting>
  <conditionalFormatting sqref="B212 B145 B59">
    <cfRule type="duplicateValues" dxfId="76" priority="3"/>
  </conditionalFormatting>
  <conditionalFormatting sqref="B233:B235">
    <cfRule type="duplicateValues" dxfId="75" priority="10"/>
  </conditionalFormatting>
  <conditionalFormatting sqref="B236:B238">
    <cfRule type="duplicateValues" dxfId="74" priority="8"/>
  </conditionalFormatting>
  <conditionalFormatting sqref="B274:B275 B149 B128:B129 B64 B204:B205 B92:B93 B61:B62 B239:B240 B242:B249 B117:B118">
    <cfRule type="duplicateValues" dxfId="73" priority="1008"/>
  </conditionalFormatting>
  <conditionalFormatting sqref="B308">
    <cfRule type="duplicateValues" dxfId="72" priority="4"/>
  </conditionalFormatting>
  <conditionalFormatting sqref="B309:B312 B119 B71">
    <cfRule type="duplicateValues" dxfId="71" priority="25"/>
  </conditionalFormatting>
  <conditionalFormatting sqref="B313:B1048576 B241 B250:B273 B276:B307 B1:B57 B60 B63 B65:B70 B72:B91 B150:B152 B154:B203 B94:B116 B120:B127 B130:B144 B146:B148 B206:B211 B213:B232">
    <cfRule type="duplicateValues" dxfId="70" priority="23"/>
  </conditionalFormatting>
  <conditionalFormatting sqref="D1:D1048576">
    <cfRule type="duplicateValues" dxfId="69" priority="1"/>
  </conditionalFormatting>
  <conditionalFormatting sqref="D102:D103">
    <cfRule type="duplicateValues" dxfId="68" priority="17"/>
    <cfRule type="duplicateValues" dxfId="67" priority="18"/>
    <cfRule type="duplicateValues" dxfId="66" priority="19"/>
    <cfRule type="duplicateValues" dxfId="65" priority="20"/>
  </conditionalFormatting>
  <conditionalFormatting sqref="E85">
    <cfRule type="duplicateValues" dxfId="64" priority="5"/>
  </conditionalFormatting>
  <conditionalFormatting sqref="E96">
    <cfRule type="duplicateValues" dxfId="63" priority="15"/>
  </conditionalFormatting>
  <conditionalFormatting sqref="E110">
    <cfRule type="duplicateValues" dxfId="62" priority="6"/>
  </conditionalFormatting>
  <conditionalFormatting sqref="E149 E128:E129 E64 E204:E205 E92:E93 E61:E62 E239:E240 E242:E249 E117:E118">
    <cfRule type="duplicateValues" dxfId="61" priority="1031"/>
  </conditionalFormatting>
  <conditionalFormatting sqref="E153 E58">
    <cfRule type="duplicateValues" dxfId="60" priority="22"/>
  </conditionalFormatting>
  <conditionalFormatting sqref="E233:E235">
    <cfRule type="duplicateValues" dxfId="59" priority="11"/>
  </conditionalFormatting>
  <conditionalFormatting sqref="E236:E238">
    <cfRule type="duplicateValues" dxfId="58" priority="9"/>
  </conditionalFormatting>
  <conditionalFormatting sqref="E290">
    <cfRule type="duplicateValues" dxfId="57" priority="16"/>
  </conditionalFormatting>
  <conditionalFormatting sqref="E301">
    <cfRule type="duplicateValues" dxfId="56" priority="7"/>
  </conditionalFormatting>
  <conditionalFormatting sqref="E308">
    <cfRule type="duplicateValues" dxfId="55" priority="2"/>
  </conditionalFormatting>
  <conditionalFormatting sqref="E328">
    <cfRule type="duplicateValues" dxfId="54" priority="14"/>
  </conditionalFormatting>
  <conditionalFormatting sqref="E329:E332 E89:E91 E94:E95 E183:E185 E291:E300 E203 E2:E57 E97:E109 E65:E70 E72:E84 E302:E307 E150:E152 E154:E181 E187:E201 E111:E116 E86:E87 E130:E148 E206:E232 E59:E60 E63 E309:E327 E241 E119:E127 E250:E289">
    <cfRule type="duplicateValues" dxfId="53" priority="24"/>
  </conditionalFormatting>
  <pageMargins left="0" right="0" top="0.25" bottom="0.5" header="0.3" footer="0.3"/>
  <pageSetup paperSize="9" scale="53" fitToHeight="0" orientation="landscape" horizontalDpi="0" verticalDpi="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63B58-5BDC-4E93-AFAB-AD5942449E7E}">
  <dimension ref="A1:P330"/>
  <sheetViews>
    <sheetView tabSelected="1" zoomScale="85" zoomScaleNormal="85" workbookViewId="0">
      <pane xSplit="5" ySplit="2" topLeftCell="F3" activePane="bottomRight" state="frozen"/>
      <selection pane="bottomRight" activeCell="I333" sqref="I333"/>
      <selection pane="bottomLeft" activeCell="A3" sqref="A3"/>
      <selection pane="topRight" activeCell="F1" sqref="F1"/>
    </sheetView>
  </sheetViews>
  <sheetFormatPr defaultRowHeight="15"/>
  <cols>
    <col min="1" max="1" width="7.125" customWidth="1"/>
    <col min="2" max="2" width="18.875" customWidth="1"/>
    <col min="3" max="3" width="12.25" customWidth="1"/>
    <col min="4" max="4" width="11.25" style="341" customWidth="1"/>
    <col min="5" max="5" width="18.25" style="242" customWidth="1"/>
    <col min="6" max="6" width="20.625" style="273" customWidth="1"/>
    <col min="7" max="7" width="18.375" customWidth="1"/>
    <col min="8" max="8" width="18.625" customWidth="1"/>
    <col min="9" max="9" width="16.375" style="259" customWidth="1"/>
    <col min="10" max="10" width="20" customWidth="1"/>
    <col min="11" max="11" width="15.875" customWidth="1"/>
    <col min="12" max="12" width="18.875" customWidth="1"/>
    <col min="13" max="13" width="33.125" customWidth="1"/>
  </cols>
  <sheetData>
    <row r="1" spans="1:14" ht="24" thickBot="1">
      <c r="A1" s="415" t="s">
        <v>1109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214"/>
      <c r="N1" s="1"/>
    </row>
    <row r="2" spans="1:14" ht="15.75" customHeight="1">
      <c r="A2" s="329" t="s">
        <v>463</v>
      </c>
      <c r="B2" s="330" t="s">
        <v>464</v>
      </c>
      <c r="C2" s="330"/>
      <c r="D2" s="330"/>
      <c r="E2" s="330" t="s">
        <v>465</v>
      </c>
      <c r="F2" s="332" t="s">
        <v>466</v>
      </c>
      <c r="G2" s="227" t="s">
        <v>467</v>
      </c>
      <c r="H2" s="227"/>
      <c r="I2" s="244"/>
      <c r="J2" s="227"/>
      <c r="K2" s="184" t="s">
        <v>468</v>
      </c>
      <c r="L2" s="260" t="s">
        <v>469</v>
      </c>
      <c r="M2" s="416" t="s">
        <v>470</v>
      </c>
      <c r="N2" s="6"/>
    </row>
    <row r="3" spans="1:14" ht="15.75">
      <c r="A3" s="165"/>
      <c r="B3" s="177"/>
      <c r="C3" s="177"/>
      <c r="D3" s="177"/>
      <c r="E3" s="177"/>
      <c r="F3" s="245"/>
      <c r="G3" s="231" t="s">
        <v>471</v>
      </c>
      <c r="H3" s="231" t="s">
        <v>472</v>
      </c>
      <c r="I3" s="245" t="s">
        <v>473</v>
      </c>
      <c r="J3" s="231" t="s">
        <v>474</v>
      </c>
      <c r="K3" s="175"/>
      <c r="L3" s="261"/>
      <c r="M3" s="417"/>
      <c r="N3" s="6"/>
    </row>
    <row r="4" spans="1:14" ht="15.75">
      <c r="A4" s="165"/>
      <c r="B4" s="177" t="s">
        <v>475</v>
      </c>
      <c r="C4" s="177"/>
      <c r="D4" s="177" t="s">
        <v>476</v>
      </c>
      <c r="E4" s="177" t="s">
        <v>477</v>
      </c>
      <c r="F4" s="246"/>
      <c r="G4" s="230"/>
      <c r="H4" s="230"/>
      <c r="I4" s="246"/>
      <c r="J4" s="230"/>
      <c r="K4" s="230"/>
      <c r="L4" s="230"/>
      <c r="M4" s="233"/>
      <c r="N4" s="6"/>
    </row>
    <row r="5" spans="1:14" ht="15.75">
      <c r="A5" s="164"/>
      <c r="B5" s="234" t="s">
        <v>478</v>
      </c>
      <c r="C5" s="234"/>
      <c r="D5" s="336"/>
      <c r="E5" s="353"/>
      <c r="F5" s="247"/>
      <c r="G5" s="236"/>
      <c r="H5" s="236"/>
      <c r="I5" s="247"/>
      <c r="J5" s="236"/>
      <c r="K5" s="236"/>
      <c r="L5" s="236"/>
      <c r="M5" s="237"/>
      <c r="N5" s="6"/>
    </row>
    <row r="6" spans="1:14" ht="15.75">
      <c r="A6" s="11">
        <v>1</v>
      </c>
      <c r="B6" s="19" t="s">
        <v>479</v>
      </c>
      <c r="C6" s="19"/>
      <c r="D6" s="19"/>
      <c r="E6" s="354" t="s">
        <v>480</v>
      </c>
      <c r="F6" s="14">
        <v>4637.6400000000003</v>
      </c>
      <c r="G6" s="74">
        <v>4355</v>
      </c>
      <c r="H6" s="75">
        <v>217.75</v>
      </c>
      <c r="I6" s="14">
        <v>64.89</v>
      </c>
      <c r="J6" s="18">
        <f t="shared" ref="J6:J70" si="0">SUM(G6+H6+I6)</f>
        <v>4637.6400000000003</v>
      </c>
      <c r="K6" s="32"/>
      <c r="L6" s="33">
        <f t="shared" ref="L6:L69" si="1">+(F6-((SUM(J6+K6))))</f>
        <v>0</v>
      </c>
      <c r="M6" s="215"/>
      <c r="N6" s="6"/>
    </row>
    <row r="7" spans="1:14" ht="15.75">
      <c r="A7" s="11">
        <f>1+A6</f>
        <v>2</v>
      </c>
      <c r="B7" s="19" t="s">
        <v>481</v>
      </c>
      <c r="C7" s="19"/>
      <c r="D7" s="19"/>
      <c r="E7" s="355" t="s">
        <v>482</v>
      </c>
      <c r="F7" s="14">
        <v>99.75</v>
      </c>
      <c r="G7" s="74">
        <v>95</v>
      </c>
      <c r="H7" s="75">
        <v>4.75</v>
      </c>
      <c r="I7" s="14"/>
      <c r="J7" s="18">
        <f t="shared" si="0"/>
        <v>99.75</v>
      </c>
      <c r="K7" s="32"/>
      <c r="L7" s="33">
        <f t="shared" si="1"/>
        <v>0</v>
      </c>
      <c r="M7" s="215"/>
      <c r="N7" s="6"/>
    </row>
    <row r="8" spans="1:14" ht="15.75">
      <c r="A8" s="11">
        <f t="shared" ref="A8:A71" si="2">1+A7</f>
        <v>3</v>
      </c>
      <c r="B8" s="19" t="s">
        <v>483</v>
      </c>
      <c r="C8" s="19"/>
      <c r="D8" s="19"/>
      <c r="E8" s="355" t="s">
        <v>483</v>
      </c>
      <c r="F8" s="14">
        <v>414.75</v>
      </c>
      <c r="G8" s="74">
        <v>395</v>
      </c>
      <c r="H8" s="75">
        <v>19.75</v>
      </c>
      <c r="I8" s="14"/>
      <c r="J8" s="18">
        <f t="shared" si="0"/>
        <v>414.75</v>
      </c>
      <c r="K8" s="32"/>
      <c r="L8" s="33">
        <f t="shared" si="1"/>
        <v>0</v>
      </c>
      <c r="M8" s="215"/>
      <c r="N8" s="6"/>
    </row>
    <row r="9" spans="1:14" ht="15.75">
      <c r="A9" s="11">
        <f t="shared" si="2"/>
        <v>4</v>
      </c>
      <c r="B9" s="19" t="s">
        <v>484</v>
      </c>
      <c r="C9" s="19"/>
      <c r="D9" s="19"/>
      <c r="E9" s="356" t="s">
        <v>484</v>
      </c>
      <c r="F9" s="14">
        <v>414.75</v>
      </c>
      <c r="G9" s="74">
        <v>395</v>
      </c>
      <c r="H9" s="75">
        <v>19.75</v>
      </c>
      <c r="I9" s="14"/>
      <c r="J9" s="18">
        <f t="shared" si="0"/>
        <v>414.75</v>
      </c>
      <c r="K9" s="32"/>
      <c r="L9" s="33">
        <f t="shared" si="1"/>
        <v>0</v>
      </c>
      <c r="M9" s="215"/>
      <c r="N9" s="6"/>
    </row>
    <row r="10" spans="1:14" ht="15.75">
      <c r="A10" s="11">
        <f t="shared" si="2"/>
        <v>5</v>
      </c>
      <c r="B10" s="19">
        <v>9202729</v>
      </c>
      <c r="C10" s="19"/>
      <c r="D10" s="19"/>
      <c r="E10" s="355" t="s">
        <v>485</v>
      </c>
      <c r="F10" s="14">
        <v>525</v>
      </c>
      <c r="G10" s="74">
        <v>500</v>
      </c>
      <c r="H10" s="75">
        <v>25</v>
      </c>
      <c r="I10" s="14"/>
      <c r="J10" s="18">
        <f t="shared" si="0"/>
        <v>525</v>
      </c>
      <c r="K10" s="32"/>
      <c r="L10" s="33">
        <f t="shared" si="1"/>
        <v>0</v>
      </c>
      <c r="M10" s="215"/>
      <c r="N10" s="6"/>
    </row>
    <row r="11" spans="1:14" ht="15.75">
      <c r="A11" s="11">
        <f t="shared" si="2"/>
        <v>6</v>
      </c>
      <c r="B11" s="19" t="s">
        <v>486</v>
      </c>
      <c r="C11" s="19"/>
      <c r="D11" s="19"/>
      <c r="E11" s="357" t="s">
        <v>132</v>
      </c>
      <c r="F11" s="14">
        <v>210</v>
      </c>
      <c r="G11" s="20">
        <v>200</v>
      </c>
      <c r="H11" s="21">
        <v>10</v>
      </c>
      <c r="I11" s="14"/>
      <c r="J11" s="18">
        <f t="shared" si="0"/>
        <v>210</v>
      </c>
      <c r="K11" s="32"/>
      <c r="L11" s="33">
        <f t="shared" si="1"/>
        <v>0</v>
      </c>
      <c r="M11" s="215"/>
      <c r="N11" s="6"/>
    </row>
    <row r="12" spans="1:14" ht="15.75">
      <c r="A12" s="11">
        <f t="shared" si="2"/>
        <v>7</v>
      </c>
      <c r="B12" s="19" t="s">
        <v>487</v>
      </c>
      <c r="C12" s="19"/>
      <c r="D12" s="19"/>
      <c r="E12" s="357" t="s">
        <v>134</v>
      </c>
      <c r="F12" s="14">
        <v>341.25</v>
      </c>
      <c r="G12" s="20">
        <v>200</v>
      </c>
      <c r="H12" s="21">
        <v>10</v>
      </c>
      <c r="I12" s="14">
        <v>131.25</v>
      </c>
      <c r="J12" s="18">
        <f t="shared" si="0"/>
        <v>341.25</v>
      </c>
      <c r="K12" s="32"/>
      <c r="L12" s="33">
        <f t="shared" si="1"/>
        <v>0</v>
      </c>
      <c r="M12" s="215"/>
      <c r="N12" s="6"/>
    </row>
    <row r="13" spans="1:14" ht="15.75">
      <c r="A13" s="11">
        <f t="shared" si="2"/>
        <v>8</v>
      </c>
      <c r="B13" s="19" t="s">
        <v>488</v>
      </c>
      <c r="C13" s="19"/>
      <c r="D13" s="19"/>
      <c r="E13" s="357" t="s">
        <v>136</v>
      </c>
      <c r="F13" s="14">
        <v>210</v>
      </c>
      <c r="G13" s="20">
        <v>200</v>
      </c>
      <c r="H13" s="21">
        <v>10</v>
      </c>
      <c r="I13" s="14"/>
      <c r="J13" s="18">
        <f t="shared" si="0"/>
        <v>210</v>
      </c>
      <c r="K13" s="32"/>
      <c r="L13" s="33">
        <f t="shared" si="1"/>
        <v>0</v>
      </c>
      <c r="M13" s="215"/>
      <c r="N13" s="6"/>
    </row>
    <row r="14" spans="1:14" ht="15.75">
      <c r="A14" s="11">
        <f t="shared" si="2"/>
        <v>9</v>
      </c>
      <c r="B14" s="19" t="s">
        <v>489</v>
      </c>
      <c r="C14" s="19"/>
      <c r="D14" s="19"/>
      <c r="E14" s="357" t="s">
        <v>138</v>
      </c>
      <c r="F14" s="14">
        <v>210</v>
      </c>
      <c r="G14" s="20">
        <v>200</v>
      </c>
      <c r="H14" s="21">
        <v>10</v>
      </c>
      <c r="I14" s="14"/>
      <c r="J14" s="18">
        <f t="shared" si="0"/>
        <v>210</v>
      </c>
      <c r="K14" s="32"/>
      <c r="L14" s="33">
        <f t="shared" si="1"/>
        <v>0</v>
      </c>
      <c r="M14" s="215"/>
      <c r="N14" s="6"/>
    </row>
    <row r="15" spans="1:14" ht="15.75">
      <c r="A15" s="11">
        <f t="shared" si="2"/>
        <v>10</v>
      </c>
      <c r="B15" s="19" t="s">
        <v>490</v>
      </c>
      <c r="C15" s="19" t="s">
        <v>942</v>
      </c>
      <c r="D15" s="19">
        <v>101074</v>
      </c>
      <c r="E15" s="358" t="s">
        <v>79</v>
      </c>
      <c r="F15" s="14">
        <v>1048.29</v>
      </c>
      <c r="G15" s="74">
        <v>325</v>
      </c>
      <c r="H15" s="75">
        <v>16.25</v>
      </c>
      <c r="I15" s="14">
        <v>707.04</v>
      </c>
      <c r="J15" s="18">
        <f t="shared" si="0"/>
        <v>1048.29</v>
      </c>
      <c r="K15" s="32"/>
      <c r="L15" s="33">
        <f t="shared" si="1"/>
        <v>0</v>
      </c>
      <c r="M15" s="215"/>
      <c r="N15" s="6"/>
    </row>
    <row r="16" spans="1:14" ht="15.75">
      <c r="A16" s="11">
        <f t="shared" si="2"/>
        <v>11</v>
      </c>
      <c r="B16" s="19" t="s">
        <v>492</v>
      </c>
      <c r="C16" s="19"/>
      <c r="D16" s="19"/>
      <c r="E16" s="355" t="s">
        <v>493</v>
      </c>
      <c r="F16" s="14">
        <v>105</v>
      </c>
      <c r="G16" s="74">
        <v>100</v>
      </c>
      <c r="H16" s="75">
        <v>5</v>
      </c>
      <c r="I16" s="14"/>
      <c r="J16" s="18">
        <f t="shared" si="0"/>
        <v>105</v>
      </c>
      <c r="K16" s="32"/>
      <c r="L16" s="33">
        <f t="shared" si="1"/>
        <v>0</v>
      </c>
      <c r="M16" s="216" t="s">
        <v>494</v>
      </c>
      <c r="N16" s="6"/>
    </row>
    <row r="17" spans="1:16" ht="15.75">
      <c r="A17" s="11">
        <f t="shared" si="2"/>
        <v>12</v>
      </c>
      <c r="B17" s="19" t="s">
        <v>495</v>
      </c>
      <c r="C17" s="19"/>
      <c r="D17" s="19"/>
      <c r="E17" s="355" t="s">
        <v>496</v>
      </c>
      <c r="F17" s="14">
        <v>52.5</v>
      </c>
      <c r="G17" s="74">
        <v>50</v>
      </c>
      <c r="H17" s="75">
        <v>2.5</v>
      </c>
      <c r="I17" s="14"/>
      <c r="J17" s="18">
        <f t="shared" si="0"/>
        <v>52.5</v>
      </c>
      <c r="K17" s="32"/>
      <c r="L17" s="33">
        <f t="shared" si="1"/>
        <v>0</v>
      </c>
      <c r="M17" s="215"/>
      <c r="N17" s="6"/>
    </row>
    <row r="18" spans="1:16" ht="15.75">
      <c r="A18" s="11">
        <f t="shared" si="2"/>
        <v>13</v>
      </c>
      <c r="B18" s="19" t="s">
        <v>497</v>
      </c>
      <c r="C18" s="19" t="s">
        <v>942</v>
      </c>
      <c r="D18" s="19">
        <v>101028</v>
      </c>
      <c r="E18" s="356" t="s">
        <v>498</v>
      </c>
      <c r="F18" s="14">
        <v>115.52</v>
      </c>
      <c r="G18" s="53">
        <v>100</v>
      </c>
      <c r="H18" s="54">
        <v>5.25</v>
      </c>
      <c r="I18" s="248">
        <v>10.27</v>
      </c>
      <c r="J18" s="18">
        <f t="shared" si="0"/>
        <v>115.52</v>
      </c>
      <c r="K18" s="61"/>
      <c r="L18" s="33">
        <f t="shared" si="1"/>
        <v>0</v>
      </c>
      <c r="M18" s="215"/>
      <c r="N18" s="6"/>
    </row>
    <row r="19" spans="1:16" ht="15.75">
      <c r="A19" s="11">
        <f t="shared" si="2"/>
        <v>14</v>
      </c>
      <c r="B19" s="19" t="s">
        <v>499</v>
      </c>
      <c r="C19" s="19" t="s">
        <v>942</v>
      </c>
      <c r="D19" s="19">
        <v>101396</v>
      </c>
      <c r="E19" s="356" t="s">
        <v>500</v>
      </c>
      <c r="F19" s="14">
        <v>52.5</v>
      </c>
      <c r="G19" s="74">
        <v>50</v>
      </c>
      <c r="H19" s="75">
        <v>2.5</v>
      </c>
      <c r="I19" s="14"/>
      <c r="J19" s="18">
        <f t="shared" si="0"/>
        <v>52.5</v>
      </c>
      <c r="K19" s="32"/>
      <c r="L19" s="33">
        <f t="shared" si="1"/>
        <v>0</v>
      </c>
      <c r="M19" s="215"/>
      <c r="N19" s="6"/>
    </row>
    <row r="20" spans="1:16" ht="15.75">
      <c r="A20" s="11">
        <f t="shared" si="2"/>
        <v>15</v>
      </c>
      <c r="B20" s="19" t="s">
        <v>501</v>
      </c>
      <c r="C20" s="19" t="s">
        <v>942</v>
      </c>
      <c r="D20" s="19">
        <v>101268</v>
      </c>
      <c r="E20" s="356" t="s">
        <v>93</v>
      </c>
      <c r="F20" s="14">
        <v>52.5</v>
      </c>
      <c r="G20" s="74">
        <v>50</v>
      </c>
      <c r="H20" s="75">
        <v>2.5</v>
      </c>
      <c r="I20" s="14"/>
      <c r="J20" s="18">
        <f t="shared" si="0"/>
        <v>52.5</v>
      </c>
      <c r="K20" s="32"/>
      <c r="L20" s="33">
        <f t="shared" si="1"/>
        <v>0</v>
      </c>
      <c r="M20" s="215" t="s">
        <v>1072</v>
      </c>
      <c r="N20" s="6"/>
    </row>
    <row r="21" spans="1:16" ht="15.75">
      <c r="A21" s="11">
        <f t="shared" si="2"/>
        <v>16</v>
      </c>
      <c r="B21" s="19" t="s">
        <v>416</v>
      </c>
      <c r="C21" s="19" t="s">
        <v>942</v>
      </c>
      <c r="D21" s="19">
        <v>101611</v>
      </c>
      <c r="E21" s="355" t="s">
        <v>321</v>
      </c>
      <c r="F21" s="14">
        <v>52.5</v>
      </c>
      <c r="G21" s="20">
        <v>50</v>
      </c>
      <c r="H21" s="21">
        <v>2.5</v>
      </c>
      <c r="I21" s="62"/>
      <c r="J21" s="18">
        <f t="shared" si="0"/>
        <v>52.5</v>
      </c>
      <c r="K21" s="32"/>
      <c r="L21" s="33">
        <f t="shared" si="1"/>
        <v>0</v>
      </c>
      <c r="M21" s="215"/>
      <c r="N21" s="6"/>
    </row>
    <row r="22" spans="1:16" ht="15.75">
      <c r="A22" s="11">
        <f t="shared" si="2"/>
        <v>17</v>
      </c>
      <c r="B22" s="19" t="s">
        <v>502</v>
      </c>
      <c r="C22" s="19" t="s">
        <v>942</v>
      </c>
      <c r="D22" s="19">
        <v>101806</v>
      </c>
      <c r="E22" s="356" t="s">
        <v>503</v>
      </c>
      <c r="F22" s="14">
        <v>52.5</v>
      </c>
      <c r="G22" s="74">
        <v>50</v>
      </c>
      <c r="H22" s="54">
        <v>2.5</v>
      </c>
      <c r="I22" s="14"/>
      <c r="J22" s="18">
        <f t="shared" si="0"/>
        <v>52.5</v>
      </c>
      <c r="K22" s="32"/>
      <c r="L22" s="33">
        <f t="shared" si="1"/>
        <v>0</v>
      </c>
      <c r="M22" s="215"/>
      <c r="N22" s="6"/>
    </row>
    <row r="23" spans="1:16" ht="15.75">
      <c r="A23" s="11">
        <f t="shared" si="2"/>
        <v>18</v>
      </c>
      <c r="B23" s="19" t="s">
        <v>505</v>
      </c>
      <c r="C23" s="19" t="s">
        <v>942</v>
      </c>
      <c r="D23" s="19">
        <v>101849</v>
      </c>
      <c r="E23" s="356" t="s">
        <v>506</v>
      </c>
      <c r="F23" s="14">
        <v>52.5</v>
      </c>
      <c r="G23" s="20">
        <v>50</v>
      </c>
      <c r="H23" s="21">
        <v>2.5</v>
      </c>
      <c r="I23" s="248"/>
      <c r="J23" s="18">
        <f t="shared" si="0"/>
        <v>52.5</v>
      </c>
      <c r="K23" s="32"/>
      <c r="L23" s="33">
        <f t="shared" si="1"/>
        <v>0</v>
      </c>
      <c r="M23" s="215"/>
      <c r="N23" s="6"/>
    </row>
    <row r="24" spans="1:16" ht="15.75">
      <c r="A24" s="11">
        <f t="shared" si="2"/>
        <v>19</v>
      </c>
      <c r="B24" s="19" t="s">
        <v>943</v>
      </c>
      <c r="C24" s="19" t="s">
        <v>942</v>
      </c>
      <c r="D24" s="19">
        <v>105208</v>
      </c>
      <c r="E24" s="356" t="s">
        <v>944</v>
      </c>
      <c r="F24" s="14">
        <v>52.5</v>
      </c>
      <c r="G24" s="56">
        <v>50</v>
      </c>
      <c r="H24" s="21">
        <v>2.5</v>
      </c>
      <c r="I24" s="147"/>
      <c r="J24" s="18">
        <f>SUM(G24+H24+I24)</f>
        <v>52.5</v>
      </c>
      <c r="K24" s="41"/>
      <c r="L24" s="85">
        <f>+(F24-((SUM(J24+K24))))</f>
        <v>0</v>
      </c>
      <c r="M24" s="218"/>
      <c r="N24" s="6" t="s">
        <v>1073</v>
      </c>
    </row>
    <row r="25" spans="1:16" ht="15.75">
      <c r="A25" s="11">
        <f t="shared" si="2"/>
        <v>20</v>
      </c>
      <c r="B25" s="55" t="s">
        <v>945</v>
      </c>
      <c r="C25" s="55" t="s">
        <v>942</v>
      </c>
      <c r="D25" s="55">
        <v>105165</v>
      </c>
      <c r="E25" s="356" t="s">
        <v>946</v>
      </c>
      <c r="F25" s="147">
        <v>52.5</v>
      </c>
      <c r="G25" s="56">
        <v>50</v>
      </c>
      <c r="H25" s="21">
        <v>2.5</v>
      </c>
      <c r="I25" s="147"/>
      <c r="J25" s="18">
        <f>SUM(G25+H25+I25)</f>
        <v>52.5</v>
      </c>
      <c r="K25" s="41"/>
      <c r="L25" s="85">
        <f>+(F25-((SUM(J25+K25))))</f>
        <v>0</v>
      </c>
      <c r="M25" s="37"/>
      <c r="N25" s="40"/>
    </row>
    <row r="26" spans="1:16" ht="15.75">
      <c r="A26" s="11">
        <f t="shared" si="2"/>
        <v>21</v>
      </c>
      <c r="B26" s="19" t="s">
        <v>421</v>
      </c>
      <c r="C26" s="19" t="s">
        <v>942</v>
      </c>
      <c r="D26" s="19">
        <v>101555</v>
      </c>
      <c r="E26" s="356" t="s">
        <v>422</v>
      </c>
      <c r="F26" s="14">
        <v>105</v>
      </c>
      <c r="G26" s="74">
        <v>100</v>
      </c>
      <c r="H26" s="75">
        <v>5</v>
      </c>
      <c r="I26" s="14"/>
      <c r="J26" s="18">
        <f t="shared" si="0"/>
        <v>105</v>
      </c>
      <c r="K26" s="32"/>
      <c r="L26" s="33">
        <f t="shared" si="1"/>
        <v>0</v>
      </c>
      <c r="M26" s="215"/>
      <c r="N26" s="59" t="s">
        <v>525</v>
      </c>
    </row>
    <row r="27" spans="1:16" ht="15.75">
      <c r="A27" s="11">
        <f t="shared" si="2"/>
        <v>22</v>
      </c>
      <c r="B27" s="19" t="s">
        <v>507</v>
      </c>
      <c r="C27" s="19" t="s">
        <v>942</v>
      </c>
      <c r="D27" s="19">
        <v>101412</v>
      </c>
      <c r="E27" s="356" t="s">
        <v>183</v>
      </c>
      <c r="F27" s="14">
        <v>52.5</v>
      </c>
      <c r="G27" s="20">
        <v>50</v>
      </c>
      <c r="H27" s="21">
        <v>2.5</v>
      </c>
      <c r="I27" s="14"/>
      <c r="J27" s="18">
        <f t="shared" si="0"/>
        <v>52.5</v>
      </c>
      <c r="K27" s="32"/>
      <c r="L27" s="33">
        <f t="shared" si="1"/>
        <v>0</v>
      </c>
      <c r="M27" s="215"/>
      <c r="N27" s="60" t="s">
        <v>79</v>
      </c>
    </row>
    <row r="28" spans="1:16" ht="15.75">
      <c r="A28" s="11">
        <f t="shared" si="2"/>
        <v>23</v>
      </c>
      <c r="B28" s="19" t="s">
        <v>508</v>
      </c>
      <c r="C28" s="19" t="s">
        <v>942</v>
      </c>
      <c r="D28" s="19">
        <v>101057</v>
      </c>
      <c r="E28" s="355" t="s">
        <v>86</v>
      </c>
      <c r="F28" s="14">
        <v>52.5</v>
      </c>
      <c r="G28" s="74">
        <v>50</v>
      </c>
      <c r="H28" s="75">
        <v>2.5</v>
      </c>
      <c r="I28" s="14"/>
      <c r="J28" s="18">
        <f t="shared" si="0"/>
        <v>52.5</v>
      </c>
      <c r="K28" s="32"/>
      <c r="L28" s="33">
        <f t="shared" si="1"/>
        <v>0</v>
      </c>
      <c r="M28" s="215"/>
      <c r="N28" s="40"/>
    </row>
    <row r="29" spans="1:16" ht="15.75">
      <c r="A29" s="11">
        <f t="shared" si="2"/>
        <v>24</v>
      </c>
      <c r="B29" s="19" t="s">
        <v>509</v>
      </c>
      <c r="C29" s="19" t="s">
        <v>942</v>
      </c>
      <c r="D29" s="19">
        <v>101208</v>
      </c>
      <c r="E29" s="356" t="s">
        <v>510</v>
      </c>
      <c r="F29" s="14">
        <v>105</v>
      </c>
      <c r="G29" s="74">
        <v>100</v>
      </c>
      <c r="H29" s="75">
        <v>5</v>
      </c>
      <c r="I29" s="14"/>
      <c r="J29" s="18">
        <f t="shared" si="0"/>
        <v>105</v>
      </c>
      <c r="K29" s="32"/>
      <c r="L29" s="33">
        <f t="shared" si="1"/>
        <v>0</v>
      </c>
      <c r="M29" s="215"/>
      <c r="N29" s="40"/>
      <c r="P29" s="242"/>
    </row>
    <row r="30" spans="1:16" ht="15.75">
      <c r="A30" s="11">
        <f t="shared" si="2"/>
        <v>25</v>
      </c>
      <c r="B30" s="19" t="s">
        <v>511</v>
      </c>
      <c r="C30" s="19" t="s">
        <v>942</v>
      </c>
      <c r="D30" s="19">
        <v>101630</v>
      </c>
      <c r="E30" s="355" t="s">
        <v>512</v>
      </c>
      <c r="F30" s="14">
        <v>52.5</v>
      </c>
      <c r="G30" s="74">
        <v>50</v>
      </c>
      <c r="H30" s="75">
        <v>2.5</v>
      </c>
      <c r="I30" s="14"/>
      <c r="J30" s="18">
        <f t="shared" si="0"/>
        <v>52.5</v>
      </c>
      <c r="K30" s="32"/>
      <c r="L30" s="33">
        <f t="shared" si="1"/>
        <v>0</v>
      </c>
      <c r="M30" s="215"/>
      <c r="N30" s="40"/>
    </row>
    <row r="31" spans="1:16" ht="15.75">
      <c r="A31" s="11">
        <f t="shared" si="2"/>
        <v>26</v>
      </c>
      <c r="B31" s="19" t="s">
        <v>413</v>
      </c>
      <c r="C31" s="19" t="s">
        <v>942</v>
      </c>
      <c r="D31" s="19">
        <v>101754</v>
      </c>
      <c r="E31" s="356" t="s">
        <v>513</v>
      </c>
      <c r="F31" s="14">
        <v>52.5</v>
      </c>
      <c r="G31" s="74">
        <v>50</v>
      </c>
      <c r="H31" s="75">
        <v>2.5</v>
      </c>
      <c r="I31" s="14"/>
      <c r="J31" s="18">
        <f t="shared" si="0"/>
        <v>52.5</v>
      </c>
      <c r="K31" s="32"/>
      <c r="L31" s="33">
        <f t="shared" si="1"/>
        <v>0</v>
      </c>
      <c r="M31" s="215"/>
      <c r="N31" s="40"/>
    </row>
    <row r="32" spans="1:16" ht="15.75">
      <c r="A32" s="11">
        <f t="shared" si="2"/>
        <v>27</v>
      </c>
      <c r="B32" s="19" t="s">
        <v>515</v>
      </c>
      <c r="C32" s="19" t="s">
        <v>942</v>
      </c>
      <c r="D32" s="19">
        <v>101786</v>
      </c>
      <c r="E32" s="355" t="s">
        <v>516</v>
      </c>
      <c r="F32" s="14">
        <v>52.5</v>
      </c>
      <c r="G32" s="74">
        <v>50</v>
      </c>
      <c r="H32" s="75">
        <v>2.5</v>
      </c>
      <c r="I32" s="14"/>
      <c r="J32" s="18">
        <f t="shared" si="0"/>
        <v>52.5</v>
      </c>
      <c r="K32" s="32"/>
      <c r="L32" s="33">
        <f t="shared" si="1"/>
        <v>0</v>
      </c>
      <c r="M32" s="37"/>
      <c r="N32" s="195"/>
    </row>
    <row r="33" spans="1:14" ht="15.75">
      <c r="A33" s="11">
        <f t="shared" si="2"/>
        <v>28</v>
      </c>
      <c r="B33" s="19" t="s">
        <v>900</v>
      </c>
      <c r="C33" s="19" t="s">
        <v>942</v>
      </c>
      <c r="D33" s="19">
        <v>101755</v>
      </c>
      <c r="E33" s="356" t="s">
        <v>901</v>
      </c>
      <c r="F33" s="14">
        <v>52.5</v>
      </c>
      <c r="G33" s="74">
        <v>50</v>
      </c>
      <c r="H33" s="54">
        <v>2.5</v>
      </c>
      <c r="I33" s="14"/>
      <c r="J33" s="18">
        <f t="shared" si="0"/>
        <v>52.5</v>
      </c>
      <c r="K33" s="32"/>
      <c r="L33" s="33">
        <f>+(F33-((SUM(J33+K33))))</f>
        <v>0</v>
      </c>
      <c r="M33" s="37"/>
      <c r="N33" s="194"/>
    </row>
    <row r="34" spans="1:14" ht="15.75">
      <c r="A34" s="11">
        <f t="shared" si="2"/>
        <v>29</v>
      </c>
      <c r="B34" s="19" t="s">
        <v>948</v>
      </c>
      <c r="C34" s="19" t="s">
        <v>942</v>
      </c>
      <c r="D34" s="19">
        <v>105127</v>
      </c>
      <c r="E34" s="356" t="s">
        <v>949</v>
      </c>
      <c r="F34" s="14">
        <v>52.5</v>
      </c>
      <c r="G34" s="20">
        <v>50</v>
      </c>
      <c r="H34" s="21">
        <v>2.5</v>
      </c>
      <c r="I34" s="14"/>
      <c r="J34" s="18">
        <f>SUM(G34+H34+I34)</f>
        <v>52.5</v>
      </c>
      <c r="K34" s="32"/>
      <c r="L34" s="33">
        <f>+(F34-((SUM(J34+K34))))</f>
        <v>0</v>
      </c>
      <c r="M34" s="218"/>
      <c r="N34" s="6" t="s">
        <v>539</v>
      </c>
    </row>
    <row r="35" spans="1:14" ht="15.75">
      <c r="A35" s="11">
        <f t="shared" si="2"/>
        <v>30</v>
      </c>
      <c r="B35" s="55" t="s">
        <v>950</v>
      </c>
      <c r="C35" s="55" t="s">
        <v>942</v>
      </c>
      <c r="D35" s="55">
        <v>105164</v>
      </c>
      <c r="E35" s="356" t="s">
        <v>951</v>
      </c>
      <c r="F35" s="147">
        <v>52.5</v>
      </c>
      <c r="G35" s="56">
        <v>50</v>
      </c>
      <c r="H35" s="21">
        <v>2.5</v>
      </c>
      <c r="I35" s="147"/>
      <c r="J35" s="18">
        <f>SUM(G35+H35+I35)</f>
        <v>52.5</v>
      </c>
      <c r="K35" s="41"/>
      <c r="L35" s="85">
        <f>+(F35-((SUM(J35+K35))))</f>
        <v>0</v>
      </c>
      <c r="M35" s="218"/>
      <c r="N35" s="6" t="s">
        <v>542</v>
      </c>
    </row>
    <row r="36" spans="1:14" ht="15.75">
      <c r="A36" s="11">
        <f t="shared" si="2"/>
        <v>31</v>
      </c>
      <c r="B36" s="19" t="s">
        <v>517</v>
      </c>
      <c r="C36" s="19"/>
      <c r="D36" s="19"/>
      <c r="E36" s="356" t="s">
        <v>153</v>
      </c>
      <c r="F36" s="14">
        <v>52.5</v>
      </c>
      <c r="G36" s="20">
        <v>50</v>
      </c>
      <c r="H36" s="21">
        <v>2.5</v>
      </c>
      <c r="I36" s="14"/>
      <c r="J36" s="18">
        <f t="shared" si="0"/>
        <v>52.5</v>
      </c>
      <c r="K36" s="32"/>
      <c r="L36" s="33">
        <f t="shared" si="1"/>
        <v>0</v>
      </c>
      <c r="M36" s="215"/>
      <c r="N36" s="40"/>
    </row>
    <row r="37" spans="1:14" ht="15.75">
      <c r="A37" s="11">
        <f t="shared" si="2"/>
        <v>32</v>
      </c>
      <c r="B37" s="19" t="s">
        <v>403</v>
      </c>
      <c r="C37" s="19"/>
      <c r="D37" s="19"/>
      <c r="E37" s="356" t="s">
        <v>518</v>
      </c>
      <c r="F37" s="14">
        <v>52.5</v>
      </c>
      <c r="G37" s="20">
        <v>50</v>
      </c>
      <c r="H37" s="21">
        <v>2.5</v>
      </c>
      <c r="I37" s="14"/>
      <c r="J37" s="18">
        <f t="shared" si="0"/>
        <v>52.5</v>
      </c>
      <c r="K37" s="32"/>
      <c r="L37" s="33">
        <f t="shared" si="1"/>
        <v>0</v>
      </c>
      <c r="M37" s="215"/>
      <c r="N37" s="40"/>
    </row>
    <row r="38" spans="1:14" ht="15.75">
      <c r="A38" s="11">
        <f t="shared" si="2"/>
        <v>33</v>
      </c>
      <c r="B38" s="132" t="s">
        <v>519</v>
      </c>
      <c r="C38" s="197"/>
      <c r="D38" s="197"/>
      <c r="E38" s="356" t="s">
        <v>520</v>
      </c>
      <c r="F38" s="14">
        <v>52.5</v>
      </c>
      <c r="G38" s="238">
        <v>50</v>
      </c>
      <c r="H38" s="131">
        <v>2.5</v>
      </c>
      <c r="I38" s="14"/>
      <c r="J38" s="18">
        <f t="shared" si="0"/>
        <v>52.5</v>
      </c>
      <c r="K38" s="32"/>
      <c r="L38" s="33">
        <f t="shared" si="1"/>
        <v>0</v>
      </c>
      <c r="M38" s="215"/>
      <c r="N38" s="40"/>
    </row>
    <row r="39" spans="1:14" ht="15.75">
      <c r="A39" s="11">
        <f t="shared" si="2"/>
        <v>34</v>
      </c>
      <c r="B39" s="19" t="s">
        <v>523</v>
      </c>
      <c r="C39" s="19" t="s">
        <v>942</v>
      </c>
      <c r="D39" s="19">
        <v>105597</v>
      </c>
      <c r="E39" s="356" t="s">
        <v>1074</v>
      </c>
      <c r="F39" s="14">
        <v>105</v>
      </c>
      <c r="G39" s="74">
        <v>100</v>
      </c>
      <c r="H39" s="54">
        <v>5</v>
      </c>
      <c r="I39" s="14"/>
      <c r="J39" s="18">
        <f t="shared" si="0"/>
        <v>105</v>
      </c>
      <c r="K39" s="32"/>
      <c r="L39" s="33">
        <f t="shared" si="1"/>
        <v>0</v>
      </c>
      <c r="M39" s="215"/>
      <c r="N39" s="195"/>
    </row>
    <row r="40" spans="1:14" ht="15.75">
      <c r="A40" s="11">
        <f t="shared" si="2"/>
        <v>35</v>
      </c>
      <c r="B40" s="19" t="s">
        <v>526</v>
      </c>
      <c r="C40" s="19" t="s">
        <v>942</v>
      </c>
      <c r="D40" s="19">
        <v>101859</v>
      </c>
      <c r="E40" s="355" t="s">
        <v>74</v>
      </c>
      <c r="F40" s="14">
        <v>105</v>
      </c>
      <c r="G40" s="74">
        <v>100</v>
      </c>
      <c r="H40" s="75">
        <v>5</v>
      </c>
      <c r="I40" s="14"/>
      <c r="J40" s="18">
        <f t="shared" si="0"/>
        <v>105</v>
      </c>
      <c r="K40" s="32"/>
      <c r="L40" s="33">
        <f t="shared" si="1"/>
        <v>0</v>
      </c>
      <c r="M40" s="215"/>
      <c r="N40" s="194"/>
    </row>
    <row r="41" spans="1:14" ht="15.75">
      <c r="A41" s="11">
        <f t="shared" si="2"/>
        <v>36</v>
      </c>
      <c r="B41" s="19" t="s">
        <v>527</v>
      </c>
      <c r="C41" s="19" t="s">
        <v>942</v>
      </c>
      <c r="D41" s="19">
        <v>101564</v>
      </c>
      <c r="E41" s="356" t="s">
        <v>528</v>
      </c>
      <c r="F41" s="14">
        <v>210</v>
      </c>
      <c r="G41" s="74">
        <v>200</v>
      </c>
      <c r="H41" s="75">
        <v>10</v>
      </c>
      <c r="I41" s="14"/>
      <c r="J41" s="18">
        <f t="shared" si="0"/>
        <v>210</v>
      </c>
      <c r="K41" s="32"/>
      <c r="L41" s="33">
        <f t="shared" si="1"/>
        <v>0</v>
      </c>
      <c r="M41" s="215"/>
      <c r="N41" s="6" t="s">
        <v>557</v>
      </c>
    </row>
    <row r="42" spans="1:14" ht="15.75">
      <c r="A42" s="11">
        <f t="shared" si="2"/>
        <v>37</v>
      </c>
      <c r="B42" s="19" t="s">
        <v>529</v>
      </c>
      <c r="C42" s="19" t="s">
        <v>942</v>
      </c>
      <c r="D42" s="19">
        <v>101748</v>
      </c>
      <c r="E42" s="356" t="s">
        <v>530</v>
      </c>
      <c r="F42" s="14">
        <v>52.5</v>
      </c>
      <c r="G42" s="74">
        <v>50</v>
      </c>
      <c r="H42" s="75">
        <v>2.5</v>
      </c>
      <c r="I42" s="14"/>
      <c r="J42" s="18">
        <f t="shared" si="0"/>
        <v>52.5</v>
      </c>
      <c r="K42" s="32"/>
      <c r="L42" s="33">
        <f t="shared" si="1"/>
        <v>0</v>
      </c>
      <c r="M42" s="215"/>
      <c r="N42" s="6" t="s">
        <v>559</v>
      </c>
    </row>
    <row r="43" spans="1:14" ht="15.75">
      <c r="A43" s="11">
        <f t="shared" si="2"/>
        <v>38</v>
      </c>
      <c r="B43" s="19" t="s">
        <v>531</v>
      </c>
      <c r="C43" s="19" t="s">
        <v>942</v>
      </c>
      <c r="D43" s="19">
        <v>101608</v>
      </c>
      <c r="E43" s="355" t="s">
        <v>532</v>
      </c>
      <c r="F43" s="14">
        <v>105</v>
      </c>
      <c r="G43" s="74">
        <v>100</v>
      </c>
      <c r="H43" s="75">
        <v>5</v>
      </c>
      <c r="I43" s="14"/>
      <c r="J43" s="18">
        <f t="shared" si="0"/>
        <v>105</v>
      </c>
      <c r="K43" s="32"/>
      <c r="L43" s="33">
        <f t="shared" si="1"/>
        <v>0</v>
      </c>
      <c r="M43" s="215"/>
      <c r="N43" s="6"/>
    </row>
    <row r="44" spans="1:14" ht="15.75">
      <c r="A44" s="11">
        <f t="shared" si="2"/>
        <v>39</v>
      </c>
      <c r="B44" s="19" t="s">
        <v>533</v>
      </c>
      <c r="C44" s="19" t="s">
        <v>942</v>
      </c>
      <c r="D44" s="19">
        <v>101845</v>
      </c>
      <c r="E44" s="356" t="s">
        <v>534</v>
      </c>
      <c r="F44" s="14">
        <v>257.45999999999998</v>
      </c>
      <c r="G44" s="53">
        <v>200</v>
      </c>
      <c r="H44" s="54">
        <v>10</v>
      </c>
      <c r="I44" s="14">
        <v>47.46</v>
      </c>
      <c r="J44" s="18">
        <f t="shared" si="0"/>
        <v>257.45999999999998</v>
      </c>
      <c r="K44" s="32"/>
      <c r="L44" s="33">
        <f t="shared" si="1"/>
        <v>0</v>
      </c>
      <c r="M44" s="215"/>
    </row>
    <row r="45" spans="1:14" ht="15.75">
      <c r="A45" s="11">
        <f t="shared" si="2"/>
        <v>40</v>
      </c>
      <c r="B45" s="19" t="s">
        <v>535</v>
      </c>
      <c r="C45" s="19" t="s">
        <v>942</v>
      </c>
      <c r="D45" s="19">
        <v>101022</v>
      </c>
      <c r="E45" s="356" t="s">
        <v>185</v>
      </c>
      <c r="F45" s="14">
        <v>177.84</v>
      </c>
      <c r="G45" s="20">
        <v>100</v>
      </c>
      <c r="H45" s="21">
        <v>5</v>
      </c>
      <c r="I45" s="14">
        <v>72.84</v>
      </c>
      <c r="J45" s="18">
        <f t="shared" si="0"/>
        <v>177.84</v>
      </c>
      <c r="K45" s="32"/>
      <c r="L45" s="33">
        <f t="shared" si="1"/>
        <v>0</v>
      </c>
      <c r="M45" s="215"/>
    </row>
    <row r="46" spans="1:14" ht="15.75">
      <c r="A46" s="11">
        <f t="shared" si="2"/>
        <v>41</v>
      </c>
      <c r="B46" s="19" t="s">
        <v>536</v>
      </c>
      <c r="C46" s="19" t="s">
        <v>942</v>
      </c>
      <c r="D46" s="19">
        <v>101864</v>
      </c>
      <c r="E46" s="356" t="s">
        <v>537</v>
      </c>
      <c r="F46" s="14">
        <v>52.5</v>
      </c>
      <c r="G46" s="74">
        <v>50</v>
      </c>
      <c r="H46" s="75">
        <v>2.5</v>
      </c>
      <c r="I46" s="14"/>
      <c r="J46" s="18">
        <f t="shared" si="0"/>
        <v>52.5</v>
      </c>
      <c r="K46" s="32"/>
      <c r="L46" s="33">
        <f t="shared" si="1"/>
        <v>0</v>
      </c>
      <c r="M46" s="215"/>
    </row>
    <row r="47" spans="1:14" ht="15.75">
      <c r="A47" s="11">
        <f t="shared" si="2"/>
        <v>42</v>
      </c>
      <c r="B47" s="19" t="s">
        <v>981</v>
      </c>
      <c r="C47" s="19" t="s">
        <v>942</v>
      </c>
      <c r="D47" s="19">
        <v>105175</v>
      </c>
      <c r="E47" s="356" t="s">
        <v>982</v>
      </c>
      <c r="F47" s="14">
        <v>105</v>
      </c>
      <c r="G47" s="20">
        <v>100</v>
      </c>
      <c r="H47" s="21">
        <v>5</v>
      </c>
      <c r="I47" s="14"/>
      <c r="J47" s="18">
        <f>SUM(G47+H47+I47)</f>
        <v>105</v>
      </c>
      <c r="K47" s="41"/>
      <c r="L47" s="85">
        <f>+(F47-((SUM(J47+K47))))</f>
        <v>0</v>
      </c>
      <c r="M47" s="218"/>
    </row>
    <row r="48" spans="1:14" ht="15.75">
      <c r="A48" s="11">
        <f t="shared" si="2"/>
        <v>43</v>
      </c>
      <c r="B48" s="19" t="s">
        <v>538</v>
      </c>
      <c r="C48" s="19" t="s">
        <v>942</v>
      </c>
      <c r="D48" s="19">
        <v>101429</v>
      </c>
      <c r="E48" s="356" t="s">
        <v>165</v>
      </c>
      <c r="F48" s="14">
        <v>52.5</v>
      </c>
      <c r="G48" s="20">
        <v>50</v>
      </c>
      <c r="H48" s="21">
        <v>2.5</v>
      </c>
      <c r="I48" s="14"/>
      <c r="J48" s="18">
        <f t="shared" si="0"/>
        <v>52.5</v>
      </c>
      <c r="K48" s="32"/>
      <c r="L48" s="33">
        <f t="shared" si="1"/>
        <v>0</v>
      </c>
      <c r="M48" s="215"/>
    </row>
    <row r="49" spans="1:14" ht="15.75">
      <c r="A49" s="11">
        <f t="shared" si="2"/>
        <v>44</v>
      </c>
      <c r="B49" s="19" t="s">
        <v>540</v>
      </c>
      <c r="C49" s="19" t="s">
        <v>942</v>
      </c>
      <c r="D49" s="19">
        <v>101790</v>
      </c>
      <c r="E49" s="356" t="s">
        <v>541</v>
      </c>
      <c r="F49" s="14">
        <v>52.5</v>
      </c>
      <c r="G49" s="74">
        <v>50</v>
      </c>
      <c r="H49" s="54">
        <v>2.5</v>
      </c>
      <c r="I49" s="14"/>
      <c r="J49" s="18">
        <f t="shared" si="0"/>
        <v>52.5</v>
      </c>
      <c r="K49" s="32"/>
      <c r="L49" s="33">
        <f t="shared" si="1"/>
        <v>0</v>
      </c>
      <c r="M49" s="37"/>
    </row>
    <row r="50" spans="1:14" ht="15.75">
      <c r="A50" s="11">
        <f t="shared" si="2"/>
        <v>45</v>
      </c>
      <c r="B50" s="19" t="s">
        <v>545</v>
      </c>
      <c r="C50" s="19" t="s">
        <v>942</v>
      </c>
      <c r="D50" s="19">
        <v>101848</v>
      </c>
      <c r="E50" s="355" t="s">
        <v>546</v>
      </c>
      <c r="F50" s="14">
        <v>87.54</v>
      </c>
      <c r="G50" s="74">
        <v>50</v>
      </c>
      <c r="H50" s="75">
        <v>2.5</v>
      </c>
      <c r="I50" s="14">
        <v>35.04</v>
      </c>
      <c r="J50" s="18">
        <f t="shared" si="0"/>
        <v>87.539999999999992</v>
      </c>
      <c r="K50" s="32"/>
      <c r="L50" s="33">
        <f t="shared" si="1"/>
        <v>1.4210854715202004E-14</v>
      </c>
      <c r="M50" s="215"/>
    </row>
    <row r="51" spans="1:14" ht="15.75">
      <c r="A51" s="11">
        <f t="shared" si="2"/>
        <v>46</v>
      </c>
      <c r="B51" s="30" t="s">
        <v>558</v>
      </c>
      <c r="C51" s="19" t="s">
        <v>942</v>
      </c>
      <c r="D51" s="19">
        <v>101451</v>
      </c>
      <c r="E51" s="359" t="s">
        <v>125</v>
      </c>
      <c r="F51" s="14">
        <v>310.75</v>
      </c>
      <c r="G51" s="74">
        <v>100</v>
      </c>
      <c r="H51" s="75">
        <v>5</v>
      </c>
      <c r="I51" s="249"/>
      <c r="J51" s="18">
        <f t="shared" si="0"/>
        <v>105</v>
      </c>
      <c r="K51" s="35"/>
      <c r="L51" s="36">
        <f t="shared" si="1"/>
        <v>205.75</v>
      </c>
      <c r="M51" s="37"/>
    </row>
    <row r="52" spans="1:14" ht="16.5" customHeight="1">
      <c r="A52" s="11">
        <f t="shared" si="2"/>
        <v>47</v>
      </c>
      <c r="B52" s="19" t="s">
        <v>560</v>
      </c>
      <c r="C52" s="19" t="s">
        <v>942</v>
      </c>
      <c r="D52" s="19">
        <v>101760</v>
      </c>
      <c r="E52" s="356" t="s">
        <v>561</v>
      </c>
      <c r="F52" s="14">
        <v>52.5</v>
      </c>
      <c r="G52" s="74">
        <v>50</v>
      </c>
      <c r="H52" s="75">
        <v>2.5</v>
      </c>
      <c r="I52" s="14"/>
      <c r="J52" s="18">
        <f t="shared" si="0"/>
        <v>52.5</v>
      </c>
      <c r="K52" s="32"/>
      <c r="L52" s="33">
        <f t="shared" si="1"/>
        <v>0</v>
      </c>
      <c r="M52" s="215"/>
    </row>
    <row r="53" spans="1:14" ht="17.25" customHeight="1">
      <c r="A53" s="11">
        <f t="shared" si="2"/>
        <v>48</v>
      </c>
      <c r="B53" s="19" t="s">
        <v>562</v>
      </c>
      <c r="C53" s="19" t="s">
        <v>942</v>
      </c>
      <c r="D53" s="19">
        <v>101575</v>
      </c>
      <c r="E53" s="356" t="s">
        <v>563</v>
      </c>
      <c r="F53" s="14">
        <v>52.5</v>
      </c>
      <c r="G53" s="20">
        <v>50</v>
      </c>
      <c r="H53" s="75">
        <v>2.5</v>
      </c>
      <c r="I53" s="14"/>
      <c r="J53" s="18">
        <f t="shared" si="0"/>
        <v>52.5</v>
      </c>
      <c r="K53" s="32"/>
      <c r="L53" s="33">
        <f t="shared" si="1"/>
        <v>0</v>
      </c>
      <c r="M53" s="215"/>
    </row>
    <row r="54" spans="1:14" ht="15.75">
      <c r="A54" s="136">
        <f>1+A298</f>
        <v>44</v>
      </c>
      <c r="B54" s="116" t="s">
        <v>894</v>
      </c>
      <c r="C54" s="19" t="s">
        <v>942</v>
      </c>
      <c r="D54" s="19">
        <v>101876</v>
      </c>
      <c r="E54" s="356" t="s">
        <v>1110</v>
      </c>
      <c r="F54" s="14">
        <v>52.5</v>
      </c>
      <c r="G54" s="74">
        <v>50</v>
      </c>
      <c r="H54" s="54">
        <v>2.5</v>
      </c>
      <c r="I54" s="14"/>
      <c r="J54" s="25">
        <f>SUM(G54+H54+I54)</f>
        <v>52.5</v>
      </c>
      <c r="K54" s="32"/>
      <c r="L54" s="33">
        <f>+(F54-((SUM(J54+K54))))</f>
        <v>0</v>
      </c>
      <c r="M54" s="215"/>
      <c r="N54" s="40"/>
    </row>
    <row r="55" spans="1:14" ht="16.5" customHeight="1">
      <c r="A55" s="11">
        <f>1+A53</f>
        <v>49</v>
      </c>
      <c r="B55" s="19" t="s">
        <v>564</v>
      </c>
      <c r="C55" s="19" t="s">
        <v>942</v>
      </c>
      <c r="D55" s="19">
        <v>101852</v>
      </c>
      <c r="E55" s="356" t="s">
        <v>307</v>
      </c>
      <c r="F55" s="14">
        <v>145.65</v>
      </c>
      <c r="G55" s="53">
        <v>100</v>
      </c>
      <c r="H55" s="54">
        <v>5</v>
      </c>
      <c r="I55" s="248"/>
      <c r="J55" s="18">
        <f t="shared" si="0"/>
        <v>105</v>
      </c>
      <c r="K55" s="61"/>
      <c r="L55" s="33">
        <f>+(F55-((SUM(J55+K55))))</f>
        <v>40.650000000000006</v>
      </c>
      <c r="M55" s="37"/>
    </row>
    <row r="56" spans="1:14" ht="15.75">
      <c r="A56" s="11">
        <f t="shared" si="2"/>
        <v>50</v>
      </c>
      <c r="B56" s="30" t="s">
        <v>565</v>
      </c>
      <c r="C56" s="19" t="s">
        <v>942</v>
      </c>
      <c r="D56" s="19">
        <v>101622</v>
      </c>
      <c r="E56" s="315" t="s">
        <v>566</v>
      </c>
      <c r="F56" s="14">
        <v>52.5</v>
      </c>
      <c r="G56" s="74">
        <v>50</v>
      </c>
      <c r="H56" s="75">
        <v>2.5</v>
      </c>
      <c r="I56" s="249"/>
      <c r="J56" s="18">
        <f t="shared" si="0"/>
        <v>52.5</v>
      </c>
      <c r="K56" s="35"/>
      <c r="L56" s="36">
        <f t="shared" si="1"/>
        <v>0</v>
      </c>
      <c r="M56" s="215"/>
    </row>
    <row r="57" spans="1:14" ht="15.75">
      <c r="A57" s="11">
        <f t="shared" si="2"/>
        <v>51</v>
      </c>
      <c r="B57" s="19" t="s">
        <v>60</v>
      </c>
      <c r="C57" s="19" t="s">
        <v>942</v>
      </c>
      <c r="D57" s="19">
        <v>101744</v>
      </c>
      <c r="E57" s="356" t="s">
        <v>62</v>
      </c>
      <c r="F57" s="14">
        <v>105</v>
      </c>
      <c r="G57" s="53">
        <v>100</v>
      </c>
      <c r="H57" s="54">
        <v>5</v>
      </c>
      <c r="I57" s="14"/>
      <c r="J57" s="18">
        <f t="shared" si="0"/>
        <v>105</v>
      </c>
      <c r="K57" s="32"/>
      <c r="L57" s="33">
        <f t="shared" si="1"/>
        <v>0</v>
      </c>
      <c r="M57" s="215"/>
    </row>
    <row r="58" spans="1:14" ht="15.75">
      <c r="A58" s="11">
        <f t="shared" si="2"/>
        <v>52</v>
      </c>
      <c r="B58" s="19" t="s">
        <v>576</v>
      </c>
      <c r="C58" s="19" t="s">
        <v>942</v>
      </c>
      <c r="D58" s="19">
        <v>101501</v>
      </c>
      <c r="E58" s="355" t="s">
        <v>577</v>
      </c>
      <c r="F58" s="14">
        <v>52.5</v>
      </c>
      <c r="G58" s="74">
        <v>50</v>
      </c>
      <c r="H58" s="75">
        <v>2.5</v>
      </c>
      <c r="I58" s="14"/>
      <c r="J58" s="18">
        <f t="shared" si="0"/>
        <v>52.5</v>
      </c>
      <c r="K58" s="32"/>
      <c r="L58" s="33">
        <f t="shared" si="1"/>
        <v>0</v>
      </c>
      <c r="M58" s="215"/>
    </row>
    <row r="59" spans="1:14" ht="15.75">
      <c r="A59" s="11">
        <f t="shared" si="2"/>
        <v>53</v>
      </c>
      <c r="B59" s="280" t="s">
        <v>999</v>
      </c>
      <c r="C59" s="12" t="s">
        <v>942</v>
      </c>
      <c r="D59" s="19">
        <v>101908</v>
      </c>
      <c r="E59" s="315" t="s">
        <v>1000</v>
      </c>
      <c r="F59" s="14">
        <v>52.5</v>
      </c>
      <c r="G59" s="74">
        <v>50</v>
      </c>
      <c r="H59" s="75">
        <v>2.5</v>
      </c>
      <c r="I59" s="249"/>
      <c r="J59" s="18">
        <f>SUM(G59+H59+I59)</f>
        <v>52.5</v>
      </c>
      <c r="K59" s="35"/>
      <c r="L59" s="36">
        <f>+(F59-((SUM(J59+K59))))</f>
        <v>0</v>
      </c>
      <c r="M59" s="215"/>
    </row>
    <row r="60" spans="1:14" ht="15.75">
      <c r="A60" s="11">
        <f t="shared" si="2"/>
        <v>54</v>
      </c>
      <c r="B60" s="301" t="s">
        <v>1053</v>
      </c>
      <c r="C60" s="197" t="s">
        <v>942</v>
      </c>
      <c r="D60" s="197">
        <v>105555</v>
      </c>
      <c r="E60" s="356" t="s">
        <v>1055</v>
      </c>
      <c r="F60" s="14">
        <v>52.5</v>
      </c>
      <c r="G60" s="238">
        <v>50</v>
      </c>
      <c r="H60" s="131">
        <v>2.5</v>
      </c>
      <c r="I60" s="14"/>
      <c r="J60" s="18">
        <f>SUM(G60+H60+I60)</f>
        <v>52.5</v>
      </c>
      <c r="K60" s="32"/>
      <c r="L60" s="33">
        <f>+(F60-((SUM(J60+K60))))</f>
        <v>0</v>
      </c>
      <c r="M60" s="215"/>
    </row>
    <row r="61" spans="1:14" ht="15.75">
      <c r="A61" s="11">
        <f t="shared" si="2"/>
        <v>55</v>
      </c>
      <c r="B61" s="19" t="s">
        <v>578</v>
      </c>
      <c r="C61" s="19" t="s">
        <v>942</v>
      </c>
      <c r="D61" s="19">
        <v>101574</v>
      </c>
      <c r="E61" s="355" t="s">
        <v>579</v>
      </c>
      <c r="F61" s="14">
        <v>105</v>
      </c>
      <c r="G61" s="20">
        <v>100</v>
      </c>
      <c r="H61" s="21">
        <v>5</v>
      </c>
      <c r="I61" s="248"/>
      <c r="J61" s="18">
        <f t="shared" si="0"/>
        <v>105</v>
      </c>
      <c r="K61" s="32"/>
      <c r="L61" s="33">
        <f t="shared" si="1"/>
        <v>0</v>
      </c>
      <c r="M61" s="215"/>
    </row>
    <row r="62" spans="1:14" ht="16.5" customHeight="1">
      <c r="A62" s="11">
        <f t="shared" si="2"/>
        <v>56</v>
      </c>
      <c r="B62" s="393" t="s">
        <v>1027</v>
      </c>
      <c r="C62" s="19" t="s">
        <v>942</v>
      </c>
      <c r="D62" s="385">
        <v>105501</v>
      </c>
      <c r="E62" s="315" t="s">
        <v>1078</v>
      </c>
      <c r="F62" s="14">
        <v>105</v>
      </c>
      <c r="G62" s="20">
        <v>100</v>
      </c>
      <c r="H62" s="21">
        <v>5</v>
      </c>
      <c r="I62" s="248"/>
      <c r="J62" s="18">
        <f t="shared" si="0"/>
        <v>105</v>
      </c>
      <c r="K62" s="32"/>
      <c r="L62" s="33">
        <f t="shared" si="1"/>
        <v>0</v>
      </c>
      <c r="M62" s="215"/>
    </row>
    <row r="63" spans="1:14" ht="15.75">
      <c r="A63" s="11">
        <f t="shared" si="2"/>
        <v>57</v>
      </c>
      <c r="B63" s="19" t="s">
        <v>582</v>
      </c>
      <c r="C63" s="19" t="s">
        <v>942</v>
      </c>
      <c r="D63" s="19">
        <v>101885</v>
      </c>
      <c r="E63" s="356" t="s">
        <v>583</v>
      </c>
      <c r="F63" s="14">
        <v>52.5</v>
      </c>
      <c r="G63" s="74">
        <v>50</v>
      </c>
      <c r="H63" s="21">
        <v>2.5</v>
      </c>
      <c r="I63" s="248"/>
      <c r="J63" s="18">
        <f t="shared" si="0"/>
        <v>52.5</v>
      </c>
      <c r="K63" s="32"/>
      <c r="L63" s="33">
        <f t="shared" si="1"/>
        <v>0</v>
      </c>
      <c r="M63" s="215"/>
    </row>
    <row r="64" spans="1:14" ht="15.75">
      <c r="A64" s="11">
        <f t="shared" si="2"/>
        <v>58</v>
      </c>
      <c r="B64" s="333" t="s">
        <v>1007</v>
      </c>
      <c r="C64" s="19" t="s">
        <v>942</v>
      </c>
      <c r="D64" s="342">
        <v>105345</v>
      </c>
      <c r="E64" s="316" t="s">
        <v>1008</v>
      </c>
      <c r="F64" s="281">
        <v>52.5</v>
      </c>
      <c r="G64" s="274">
        <v>50</v>
      </c>
      <c r="H64" s="21">
        <v>2.5</v>
      </c>
      <c r="I64" s="248"/>
      <c r="J64" s="18">
        <f t="shared" si="0"/>
        <v>52.5</v>
      </c>
      <c r="K64" s="32"/>
      <c r="L64" s="33">
        <f t="shared" si="1"/>
        <v>0</v>
      </c>
      <c r="M64" s="215"/>
      <c r="N64" s="40"/>
    </row>
    <row r="65" spans="1:14" ht="15.75">
      <c r="A65" s="11">
        <f t="shared" si="2"/>
        <v>59</v>
      </c>
      <c r="B65" s="19" t="s">
        <v>983</v>
      </c>
      <c r="C65" s="19" t="s">
        <v>942</v>
      </c>
      <c r="D65" s="19">
        <v>105182</v>
      </c>
      <c r="E65" s="356" t="s">
        <v>984</v>
      </c>
      <c r="F65" s="14">
        <v>52.5</v>
      </c>
      <c r="G65" s="20">
        <v>50</v>
      </c>
      <c r="H65" s="21">
        <v>2.5</v>
      </c>
      <c r="I65" s="248"/>
      <c r="J65" s="18">
        <f t="shared" si="0"/>
        <v>52.5</v>
      </c>
      <c r="K65" s="32"/>
      <c r="L65" s="33">
        <f t="shared" si="1"/>
        <v>0</v>
      </c>
      <c r="M65" s="215"/>
    </row>
    <row r="66" spans="1:14" ht="15.75">
      <c r="A66" s="11">
        <f t="shared" si="2"/>
        <v>60</v>
      </c>
      <c r="B66" s="116" t="s">
        <v>584</v>
      </c>
      <c r="C66" s="19" t="s">
        <v>942</v>
      </c>
      <c r="D66" s="19">
        <v>101867</v>
      </c>
      <c r="E66" s="356" t="s">
        <v>585</v>
      </c>
      <c r="F66" s="14">
        <v>52.5</v>
      </c>
      <c r="G66" s="74">
        <v>50</v>
      </c>
      <c r="H66" s="21">
        <v>2.5</v>
      </c>
      <c r="I66" s="248"/>
      <c r="J66" s="18">
        <f t="shared" si="0"/>
        <v>52.5</v>
      </c>
      <c r="K66" s="32"/>
      <c r="L66" s="33">
        <f t="shared" si="1"/>
        <v>0</v>
      </c>
      <c r="M66" s="215"/>
      <c r="N66" s="6"/>
    </row>
    <row r="67" spans="1:14" ht="15.75">
      <c r="A67" s="11">
        <f t="shared" si="2"/>
        <v>61</v>
      </c>
      <c r="B67" s="19" t="s">
        <v>586</v>
      </c>
      <c r="C67" s="19" t="s">
        <v>942</v>
      </c>
      <c r="D67" s="19">
        <v>101890</v>
      </c>
      <c r="E67" s="356" t="s">
        <v>587</v>
      </c>
      <c r="F67" s="14">
        <v>52.5</v>
      </c>
      <c r="G67" s="74">
        <v>50</v>
      </c>
      <c r="H67" s="21">
        <v>2.5</v>
      </c>
      <c r="I67" s="248"/>
      <c r="J67" s="18">
        <f t="shared" si="0"/>
        <v>52.5</v>
      </c>
      <c r="K67" s="32"/>
      <c r="L67" s="33">
        <f t="shared" si="1"/>
        <v>0</v>
      </c>
      <c r="M67" s="215"/>
      <c r="N67" s="6"/>
    </row>
    <row r="68" spans="1:14" ht="15.75">
      <c r="A68" s="11">
        <f t="shared" si="2"/>
        <v>62</v>
      </c>
      <c r="B68" s="116" t="s">
        <v>588</v>
      </c>
      <c r="C68" s="19" t="s">
        <v>942</v>
      </c>
      <c r="D68" s="19">
        <v>101912</v>
      </c>
      <c r="E68" s="356" t="s">
        <v>589</v>
      </c>
      <c r="F68" s="14">
        <v>52.5</v>
      </c>
      <c r="G68" s="74">
        <v>50</v>
      </c>
      <c r="H68" s="21">
        <v>2.5</v>
      </c>
      <c r="I68" s="248"/>
      <c r="J68" s="18">
        <f t="shared" si="0"/>
        <v>52.5</v>
      </c>
      <c r="K68" s="32"/>
      <c r="L68" s="33">
        <f t="shared" si="1"/>
        <v>0</v>
      </c>
      <c r="M68" s="37"/>
      <c r="N68" s="6"/>
    </row>
    <row r="69" spans="1:14" ht="15" customHeight="1">
      <c r="A69" s="11">
        <f t="shared" si="2"/>
        <v>63</v>
      </c>
      <c r="B69" s="132" t="s">
        <v>590</v>
      </c>
      <c r="C69" s="19" t="s">
        <v>942</v>
      </c>
      <c r="D69" s="19">
        <v>101909</v>
      </c>
      <c r="E69" s="356" t="s">
        <v>591</v>
      </c>
      <c r="F69" s="14">
        <v>52.5</v>
      </c>
      <c r="G69" s="238">
        <v>50</v>
      </c>
      <c r="H69" s="21">
        <v>2.5</v>
      </c>
      <c r="I69" s="248"/>
      <c r="J69" s="18">
        <f t="shared" si="0"/>
        <v>52.5</v>
      </c>
      <c r="K69" s="32"/>
      <c r="L69" s="33">
        <f t="shared" si="1"/>
        <v>0</v>
      </c>
      <c r="M69" s="215"/>
      <c r="N69" s="6"/>
    </row>
    <row r="70" spans="1:14" ht="15.75">
      <c r="A70" s="11">
        <f t="shared" si="2"/>
        <v>64</v>
      </c>
      <c r="B70" s="116" t="s">
        <v>592</v>
      </c>
      <c r="C70" s="19" t="s">
        <v>942</v>
      </c>
      <c r="D70" s="19">
        <v>101871</v>
      </c>
      <c r="E70" s="356" t="s">
        <v>593</v>
      </c>
      <c r="F70" s="14">
        <v>52.5</v>
      </c>
      <c r="G70" s="74">
        <v>50</v>
      </c>
      <c r="H70" s="54">
        <v>2.5</v>
      </c>
      <c r="I70" s="14"/>
      <c r="J70" s="18">
        <f t="shared" si="0"/>
        <v>52.5</v>
      </c>
      <c r="K70" s="32"/>
      <c r="L70" s="33">
        <f>+(F70-((SUM(J70+K70))))</f>
        <v>0</v>
      </c>
      <c r="M70" s="215"/>
      <c r="N70" s="6"/>
    </row>
    <row r="71" spans="1:14" ht="15.75">
      <c r="A71" s="11">
        <f t="shared" si="2"/>
        <v>65</v>
      </c>
      <c r="B71" s="301" t="s">
        <v>1069</v>
      </c>
      <c r="C71" s="197" t="s">
        <v>942</v>
      </c>
      <c r="D71" s="197">
        <v>105582</v>
      </c>
      <c r="E71" s="355" t="s">
        <v>1080</v>
      </c>
      <c r="F71" s="14">
        <v>52.5</v>
      </c>
      <c r="G71" s="238">
        <v>50</v>
      </c>
      <c r="H71" s="131">
        <v>2.5</v>
      </c>
      <c r="I71" s="14"/>
      <c r="J71" s="18">
        <f>SUM(G71+H71+I71)</f>
        <v>52.5</v>
      </c>
      <c r="K71" s="32"/>
      <c r="L71" s="33">
        <f>+(F71-((SUM(J71+K71))))</f>
        <v>0</v>
      </c>
      <c r="M71" s="215"/>
      <c r="N71" s="6" t="s">
        <v>557</v>
      </c>
    </row>
    <row r="72" spans="1:14" ht="15.75">
      <c r="A72" s="11">
        <f t="shared" ref="A72:A132" si="3">1+A71</f>
        <v>66</v>
      </c>
      <c r="B72" s="19" t="s">
        <v>50</v>
      </c>
      <c r="C72" s="19"/>
      <c r="D72" s="19"/>
      <c r="E72" s="356" t="s">
        <v>594</v>
      </c>
      <c r="F72" s="14">
        <v>52.5</v>
      </c>
      <c r="G72" s="53">
        <v>50</v>
      </c>
      <c r="H72" s="54">
        <v>2.5</v>
      </c>
      <c r="I72" s="249"/>
      <c r="J72" s="18">
        <f t="shared" ref="J72:J151" si="4">SUM(G72+H72+I72)</f>
        <v>52.5</v>
      </c>
      <c r="K72" s="32"/>
      <c r="L72" s="33">
        <f t="shared" ref="L72:L107" si="5">+(F72-((SUM(J72+K72))))</f>
        <v>0</v>
      </c>
      <c r="M72" s="215"/>
      <c r="N72" s="6"/>
    </row>
    <row r="73" spans="1:14" ht="15.75">
      <c r="A73" s="11">
        <f t="shared" si="3"/>
        <v>67</v>
      </c>
      <c r="B73" s="19" t="s">
        <v>8</v>
      </c>
      <c r="C73" s="30"/>
      <c r="D73" s="30"/>
      <c r="E73" s="315" t="s">
        <v>10</v>
      </c>
      <c r="F73" s="14">
        <v>52.5</v>
      </c>
      <c r="G73" s="20">
        <v>50</v>
      </c>
      <c r="H73" s="21">
        <v>2.5</v>
      </c>
      <c r="I73" s="14"/>
      <c r="J73" s="18">
        <f t="shared" si="4"/>
        <v>52.5</v>
      </c>
      <c r="K73" s="32"/>
      <c r="L73" s="33">
        <f t="shared" si="5"/>
        <v>0</v>
      </c>
      <c r="M73" s="215"/>
      <c r="N73" s="6"/>
    </row>
    <row r="74" spans="1:14" ht="15.75">
      <c r="A74" s="11">
        <f t="shared" si="3"/>
        <v>68</v>
      </c>
      <c r="B74" s="116" t="s">
        <v>599</v>
      </c>
      <c r="C74" s="19"/>
      <c r="D74" s="19"/>
      <c r="E74" s="356" t="s">
        <v>600</v>
      </c>
      <c r="F74" s="14">
        <v>52.5</v>
      </c>
      <c r="G74" s="74">
        <v>50</v>
      </c>
      <c r="H74" s="54">
        <v>2.5</v>
      </c>
      <c r="I74" s="14"/>
      <c r="J74" s="18">
        <f t="shared" si="4"/>
        <v>52.5</v>
      </c>
      <c r="K74" s="32"/>
      <c r="L74" s="33">
        <f t="shared" si="5"/>
        <v>0</v>
      </c>
      <c r="M74" s="215"/>
      <c r="N74" s="6"/>
    </row>
    <row r="75" spans="1:14" ht="15.75">
      <c r="A75" s="11">
        <f t="shared" si="3"/>
        <v>69</v>
      </c>
      <c r="B75" s="19" t="s">
        <v>601</v>
      </c>
      <c r="C75" s="19"/>
      <c r="D75" s="19"/>
      <c r="E75" s="354" t="s">
        <v>602</v>
      </c>
      <c r="F75" s="14">
        <v>52.5</v>
      </c>
      <c r="G75" s="53">
        <v>50</v>
      </c>
      <c r="H75" s="54">
        <v>2.5</v>
      </c>
      <c r="I75" s="14"/>
      <c r="J75" s="18">
        <f t="shared" si="4"/>
        <v>52.5</v>
      </c>
      <c r="K75" s="32"/>
      <c r="L75" s="33">
        <f t="shared" si="5"/>
        <v>0</v>
      </c>
      <c r="M75" s="215"/>
      <c r="N75" s="6"/>
    </row>
    <row r="76" spans="1:14" ht="15.75">
      <c r="A76" s="11">
        <f t="shared" si="3"/>
        <v>70</v>
      </c>
      <c r="B76" s="116" t="s">
        <v>603</v>
      </c>
      <c r="C76" s="19" t="s">
        <v>942</v>
      </c>
      <c r="D76" s="19">
        <v>101863</v>
      </c>
      <c r="E76" s="356" t="s">
        <v>604</v>
      </c>
      <c r="F76" s="14">
        <v>52.5</v>
      </c>
      <c r="G76" s="74">
        <v>50</v>
      </c>
      <c r="H76" s="54">
        <v>2.5</v>
      </c>
      <c r="I76" s="14"/>
      <c r="J76" s="18">
        <f t="shared" si="4"/>
        <v>52.5</v>
      </c>
      <c r="K76" s="32"/>
      <c r="L76" s="33">
        <f t="shared" si="5"/>
        <v>0</v>
      </c>
      <c r="M76" s="215"/>
      <c r="N76" s="6"/>
    </row>
    <row r="77" spans="1:14" ht="15.75">
      <c r="A77" s="11">
        <f t="shared" si="3"/>
        <v>71</v>
      </c>
      <c r="B77" s="19" t="s">
        <v>66</v>
      </c>
      <c r="C77" s="19" t="s">
        <v>942</v>
      </c>
      <c r="D77" s="19">
        <v>105120</v>
      </c>
      <c r="E77" s="356" t="s">
        <v>605</v>
      </c>
      <c r="F77" s="14">
        <v>105</v>
      </c>
      <c r="G77" s="53">
        <v>100</v>
      </c>
      <c r="H77" s="54">
        <v>5</v>
      </c>
      <c r="I77" s="14"/>
      <c r="J77" s="18">
        <f t="shared" si="4"/>
        <v>105</v>
      </c>
      <c r="K77" s="32"/>
      <c r="L77" s="33">
        <f t="shared" si="5"/>
        <v>0</v>
      </c>
      <c r="M77" s="215"/>
      <c r="N77" s="6"/>
    </row>
    <row r="78" spans="1:14" ht="15.75">
      <c r="A78" s="11">
        <f t="shared" si="3"/>
        <v>72</v>
      </c>
      <c r="B78" s="19" t="s">
        <v>547</v>
      </c>
      <c r="C78" s="19" t="s">
        <v>942</v>
      </c>
      <c r="D78" s="19">
        <v>101567</v>
      </c>
      <c r="E78" s="356" t="s">
        <v>548</v>
      </c>
      <c r="F78" s="14">
        <v>52.5</v>
      </c>
      <c r="G78" s="20">
        <v>50</v>
      </c>
      <c r="H78" s="21">
        <v>2.5</v>
      </c>
      <c r="I78" s="14"/>
      <c r="J78" s="18">
        <f>SUM(G78+H78+I78)</f>
        <v>52.5</v>
      </c>
      <c r="K78" s="32"/>
      <c r="L78" s="33">
        <f>+(F78-((SUM(J78+K78))))</f>
        <v>0</v>
      </c>
      <c r="M78" s="37"/>
    </row>
    <row r="79" spans="1:14" ht="15.75">
      <c r="A79" s="11">
        <f t="shared" si="3"/>
        <v>73</v>
      </c>
      <c r="B79" s="19" t="s">
        <v>549</v>
      </c>
      <c r="C79" s="19" t="s">
        <v>942</v>
      </c>
      <c r="D79" s="19">
        <v>101739</v>
      </c>
      <c r="E79" s="355" t="s">
        <v>550</v>
      </c>
      <c r="F79" s="14">
        <v>105</v>
      </c>
      <c r="G79" s="74">
        <v>100</v>
      </c>
      <c r="H79" s="75">
        <v>5</v>
      </c>
      <c r="I79" s="14"/>
      <c r="J79" s="18">
        <f>SUM(G79+H79+I79)</f>
        <v>105</v>
      </c>
      <c r="K79" s="32"/>
      <c r="L79" s="33">
        <f>+(F79-((SUM(J79+K79))))</f>
        <v>0</v>
      </c>
      <c r="M79" s="215"/>
    </row>
    <row r="80" spans="1:14" ht="15.75">
      <c r="A80" s="11">
        <f t="shared" si="3"/>
        <v>74</v>
      </c>
      <c r="B80" s="19" t="s">
        <v>551</v>
      </c>
      <c r="C80" s="19" t="s">
        <v>942</v>
      </c>
      <c r="D80" s="19">
        <v>101872</v>
      </c>
      <c r="E80" s="355" t="s">
        <v>552</v>
      </c>
      <c r="F80" s="14">
        <v>52.5</v>
      </c>
      <c r="G80" s="74">
        <v>50</v>
      </c>
      <c r="H80" s="75">
        <v>2.5</v>
      </c>
      <c r="I80" s="14"/>
      <c r="J80" s="18">
        <f>SUM(G80+H80+I80)</f>
        <v>52.5</v>
      </c>
      <c r="K80" s="32"/>
      <c r="L80" s="33">
        <f>+(F80-((SUM(J80+K80))))</f>
        <v>0</v>
      </c>
      <c r="M80" s="37"/>
    </row>
    <row r="81" spans="1:14" ht="15.75">
      <c r="A81" s="11">
        <f t="shared" si="3"/>
        <v>75</v>
      </c>
      <c r="B81" s="19" t="s">
        <v>553</v>
      </c>
      <c r="C81" s="19" t="s">
        <v>942</v>
      </c>
      <c r="D81" s="19">
        <v>101780</v>
      </c>
      <c r="E81" s="355" t="s">
        <v>554</v>
      </c>
      <c r="F81" s="14">
        <v>52.5</v>
      </c>
      <c r="G81" s="74">
        <v>50</v>
      </c>
      <c r="H81" s="75">
        <v>2.5</v>
      </c>
      <c r="I81" s="14"/>
      <c r="J81" s="18">
        <f>SUM(G81+H81+I81)</f>
        <v>52.5</v>
      </c>
      <c r="K81" s="32"/>
      <c r="L81" s="33">
        <f>+(F81-((SUM(J81+K81))))</f>
        <v>0</v>
      </c>
      <c r="M81" s="37"/>
    </row>
    <row r="82" spans="1:14" ht="15.75">
      <c r="A82" s="11">
        <f t="shared" si="3"/>
        <v>76</v>
      </c>
      <c r="B82" s="116" t="s">
        <v>555</v>
      </c>
      <c r="C82" s="19" t="s">
        <v>942</v>
      </c>
      <c r="D82" s="19">
        <v>105063</v>
      </c>
      <c r="E82" s="356" t="s">
        <v>556</v>
      </c>
      <c r="F82" s="14">
        <v>120.25</v>
      </c>
      <c r="G82" s="74">
        <v>114.52</v>
      </c>
      <c r="H82" s="54">
        <v>5.73</v>
      </c>
      <c r="I82" s="14"/>
      <c r="J82" s="18">
        <f>SUM(G82+H82+I82)</f>
        <v>120.25</v>
      </c>
      <c r="K82" s="32"/>
      <c r="L82" s="33">
        <f>+(F82-((SUM(J82+K82))))</f>
        <v>0</v>
      </c>
      <c r="M82" s="215"/>
    </row>
    <row r="83" spans="1:14" ht="15.75">
      <c r="A83" s="11">
        <f t="shared" si="3"/>
        <v>77</v>
      </c>
      <c r="B83" s="19" t="s">
        <v>606</v>
      </c>
      <c r="C83" s="19" t="s">
        <v>942</v>
      </c>
      <c r="D83" s="19">
        <v>11111</v>
      </c>
      <c r="E83" s="356" t="s">
        <v>607</v>
      </c>
      <c r="F83" s="14">
        <v>52.5</v>
      </c>
      <c r="G83" s="20">
        <v>50</v>
      </c>
      <c r="H83" s="21">
        <v>2.5</v>
      </c>
      <c r="I83" s="14"/>
      <c r="J83" s="18">
        <f t="shared" si="4"/>
        <v>52.5</v>
      </c>
      <c r="K83" s="32"/>
      <c r="L83" s="33">
        <f t="shared" si="5"/>
        <v>0</v>
      </c>
      <c r="M83" s="215"/>
      <c r="N83" s="6"/>
    </row>
    <row r="84" spans="1:14" ht="15.75">
      <c r="A84" s="11">
        <f t="shared" si="3"/>
        <v>78</v>
      </c>
      <c r="B84" s="19" t="s">
        <v>608</v>
      </c>
      <c r="C84" s="19" t="s">
        <v>942</v>
      </c>
      <c r="D84" s="19">
        <v>101012</v>
      </c>
      <c r="E84" s="356" t="s">
        <v>167</v>
      </c>
      <c r="F84" s="14">
        <v>52.5</v>
      </c>
      <c r="G84" s="20">
        <v>50</v>
      </c>
      <c r="H84" s="21">
        <v>2.5</v>
      </c>
      <c r="I84" s="14"/>
      <c r="J84" s="18">
        <f t="shared" si="4"/>
        <v>52.5</v>
      </c>
      <c r="K84" s="32"/>
      <c r="L84" s="33">
        <f t="shared" si="5"/>
        <v>0</v>
      </c>
      <c r="M84" s="215"/>
      <c r="N84" s="6"/>
    </row>
    <row r="85" spans="1:14" ht="15.75">
      <c r="A85" s="11">
        <f t="shared" si="3"/>
        <v>79</v>
      </c>
      <c r="B85" s="19" t="s">
        <v>609</v>
      </c>
      <c r="C85" s="19" t="s">
        <v>942</v>
      </c>
      <c r="D85" s="19">
        <v>105349</v>
      </c>
      <c r="E85" s="356" t="s">
        <v>955</v>
      </c>
      <c r="F85" s="14">
        <v>52.5</v>
      </c>
      <c r="G85" s="74">
        <v>50</v>
      </c>
      <c r="H85" s="75">
        <v>2.5</v>
      </c>
      <c r="I85" s="14"/>
      <c r="J85" s="18">
        <f t="shared" si="4"/>
        <v>52.5</v>
      </c>
      <c r="K85" s="32"/>
      <c r="L85" s="33">
        <f t="shared" si="5"/>
        <v>0</v>
      </c>
      <c r="M85" s="215"/>
      <c r="N85" s="6"/>
    </row>
    <row r="86" spans="1:14" ht="15.75">
      <c r="A86" s="11">
        <f t="shared" si="3"/>
        <v>80</v>
      </c>
      <c r="B86" s="19" t="s">
        <v>410</v>
      </c>
      <c r="C86" s="19" t="s">
        <v>942</v>
      </c>
      <c r="D86" s="19">
        <v>105525</v>
      </c>
      <c r="E86" s="355" t="s">
        <v>1038</v>
      </c>
      <c r="F86" s="14">
        <v>52.5</v>
      </c>
      <c r="G86" s="20">
        <v>50</v>
      </c>
      <c r="H86" s="75">
        <v>2.5</v>
      </c>
      <c r="I86" s="14"/>
      <c r="J86" s="18">
        <f t="shared" si="4"/>
        <v>52.5</v>
      </c>
      <c r="K86" s="32"/>
      <c r="L86" s="33">
        <f t="shared" si="5"/>
        <v>0</v>
      </c>
      <c r="M86" s="215"/>
      <c r="N86" s="6"/>
    </row>
    <row r="87" spans="1:14" ht="15.75">
      <c r="A87" s="11">
        <f t="shared" si="3"/>
        <v>81</v>
      </c>
      <c r="B87" s="116" t="s">
        <v>613</v>
      </c>
      <c r="C87" s="19" t="s">
        <v>942</v>
      </c>
      <c r="D87" s="19">
        <v>105340</v>
      </c>
      <c r="E87" s="356" t="s">
        <v>957</v>
      </c>
      <c r="F87" s="14">
        <v>52.5</v>
      </c>
      <c r="G87" s="53">
        <v>50</v>
      </c>
      <c r="H87" s="54">
        <v>2.5</v>
      </c>
      <c r="I87" s="14"/>
      <c r="J87" s="18">
        <f t="shared" si="4"/>
        <v>52.5</v>
      </c>
      <c r="K87" s="32"/>
      <c r="L87" s="33">
        <f t="shared" si="5"/>
        <v>0</v>
      </c>
      <c r="M87" s="37"/>
      <c r="N87" s="6"/>
    </row>
    <row r="88" spans="1:14" ht="15.75">
      <c r="A88" s="11">
        <f t="shared" si="3"/>
        <v>82</v>
      </c>
      <c r="B88" s="19" t="s">
        <v>615</v>
      </c>
      <c r="C88" s="19" t="s">
        <v>942</v>
      </c>
      <c r="D88" s="19">
        <v>101820</v>
      </c>
      <c r="E88" s="356" t="s">
        <v>616</v>
      </c>
      <c r="F88" s="14">
        <v>52.5</v>
      </c>
      <c r="G88" s="74">
        <v>50</v>
      </c>
      <c r="H88" s="54">
        <v>2.5</v>
      </c>
      <c r="I88" s="14"/>
      <c r="J88" s="18">
        <f t="shared" si="4"/>
        <v>52.5</v>
      </c>
      <c r="K88" s="32"/>
      <c r="L88" s="33">
        <f t="shared" si="5"/>
        <v>0</v>
      </c>
      <c r="M88" s="215"/>
      <c r="N88" s="6"/>
    </row>
    <row r="89" spans="1:14" ht="15.75">
      <c r="A89" s="11">
        <f t="shared" si="3"/>
        <v>83</v>
      </c>
      <c r="B89" s="19" t="s">
        <v>617</v>
      </c>
      <c r="C89" s="19" t="s">
        <v>942</v>
      </c>
      <c r="D89" s="19">
        <v>101504</v>
      </c>
      <c r="E89" s="356" t="s">
        <v>618</v>
      </c>
      <c r="F89" s="14">
        <v>105</v>
      </c>
      <c r="G89" s="74">
        <v>100</v>
      </c>
      <c r="H89" s="75">
        <v>5</v>
      </c>
      <c r="I89" s="14"/>
      <c r="J89" s="18">
        <f t="shared" si="4"/>
        <v>105</v>
      </c>
      <c r="K89" s="32"/>
      <c r="L89" s="33">
        <f>+(F89-((SUM(J89+K89))))</f>
        <v>0</v>
      </c>
      <c r="M89" s="215"/>
      <c r="N89" s="6"/>
    </row>
    <row r="90" spans="1:14" ht="15.75">
      <c r="A90" s="11">
        <f t="shared" si="3"/>
        <v>84</v>
      </c>
      <c r="B90" s="19" t="s">
        <v>619</v>
      </c>
      <c r="C90" s="19" t="s">
        <v>942</v>
      </c>
      <c r="D90" s="19">
        <v>101418</v>
      </c>
      <c r="E90" s="356" t="s">
        <v>620</v>
      </c>
      <c r="F90" s="14">
        <v>147.41999999999999</v>
      </c>
      <c r="G90" s="74">
        <v>100</v>
      </c>
      <c r="H90" s="75">
        <v>5</v>
      </c>
      <c r="I90" s="14"/>
      <c r="J90" s="18">
        <f t="shared" si="4"/>
        <v>105</v>
      </c>
      <c r="K90" s="32">
        <f>4+4+3+3+0.3+0.3+0.3+0.3</f>
        <v>15.200000000000003</v>
      </c>
      <c r="L90" s="33">
        <f t="shared" si="5"/>
        <v>27.219999999999985</v>
      </c>
      <c r="M90" s="215"/>
      <c r="N90" s="6"/>
    </row>
    <row r="91" spans="1:14" ht="15.75">
      <c r="A91" s="11">
        <f t="shared" si="3"/>
        <v>85</v>
      </c>
      <c r="B91" s="19" t="s">
        <v>414</v>
      </c>
      <c r="C91" s="19" t="s">
        <v>942</v>
      </c>
      <c r="D91" s="19">
        <v>101701</v>
      </c>
      <c r="E91" s="377" t="s">
        <v>621</v>
      </c>
      <c r="F91" s="14">
        <v>52.5</v>
      </c>
      <c r="G91" s="74">
        <v>50</v>
      </c>
      <c r="H91" s="75">
        <v>2.5</v>
      </c>
      <c r="I91" s="248"/>
      <c r="J91" s="18">
        <f t="shared" si="4"/>
        <v>52.5</v>
      </c>
      <c r="K91" s="32"/>
      <c r="L91" s="33">
        <f t="shared" si="5"/>
        <v>0</v>
      </c>
      <c r="M91" s="215"/>
      <c r="N91" s="6"/>
    </row>
    <row r="92" spans="1:14" ht="15.75">
      <c r="A92" s="11">
        <f t="shared" si="3"/>
        <v>86</v>
      </c>
      <c r="B92" s="333" t="s">
        <v>1025</v>
      </c>
      <c r="C92" s="19" t="s">
        <v>942</v>
      </c>
      <c r="D92" s="19">
        <v>101681</v>
      </c>
      <c r="E92" s="374" t="s">
        <v>1026</v>
      </c>
      <c r="F92" s="14">
        <v>105</v>
      </c>
      <c r="G92" s="74">
        <v>100</v>
      </c>
      <c r="H92" s="75">
        <v>5</v>
      </c>
      <c r="I92" s="249"/>
      <c r="J92" s="18">
        <f t="shared" si="4"/>
        <v>105</v>
      </c>
      <c r="K92" s="35"/>
      <c r="L92" s="33">
        <f t="shared" si="5"/>
        <v>0</v>
      </c>
      <c r="M92" s="215"/>
      <c r="N92" s="195"/>
    </row>
    <row r="93" spans="1:14" ht="15.75">
      <c r="A93" s="11">
        <f t="shared" si="3"/>
        <v>87</v>
      </c>
      <c r="B93" s="19" t="s">
        <v>622</v>
      </c>
      <c r="C93" s="19" t="s">
        <v>942</v>
      </c>
      <c r="D93" s="19">
        <v>101708</v>
      </c>
      <c r="E93" s="377" t="s">
        <v>623</v>
      </c>
      <c r="F93" s="14">
        <v>52.5</v>
      </c>
      <c r="G93" s="74">
        <v>50</v>
      </c>
      <c r="H93" s="75">
        <v>2.5</v>
      </c>
      <c r="I93" s="14"/>
      <c r="J93" s="18">
        <f t="shared" si="4"/>
        <v>52.5</v>
      </c>
      <c r="K93" s="32"/>
      <c r="L93" s="33">
        <f t="shared" si="5"/>
        <v>0</v>
      </c>
      <c r="M93" s="37"/>
      <c r="N93" s="6"/>
    </row>
    <row r="94" spans="1:14" ht="15.75">
      <c r="A94" s="11">
        <f t="shared" si="3"/>
        <v>88</v>
      </c>
      <c r="B94" s="19" t="s">
        <v>908</v>
      </c>
      <c r="C94" s="19" t="s">
        <v>942</v>
      </c>
      <c r="D94" s="19">
        <v>101888</v>
      </c>
      <c r="E94" s="377" t="s">
        <v>958</v>
      </c>
      <c r="F94" s="14">
        <v>105</v>
      </c>
      <c r="G94" s="74">
        <v>100</v>
      </c>
      <c r="H94" s="54">
        <v>5</v>
      </c>
      <c r="I94" s="14"/>
      <c r="J94" s="18">
        <f t="shared" si="4"/>
        <v>105</v>
      </c>
      <c r="K94" s="32"/>
      <c r="L94" s="33">
        <f t="shared" si="5"/>
        <v>0</v>
      </c>
      <c r="M94" s="218"/>
      <c r="N94" s="6"/>
    </row>
    <row r="95" spans="1:14" ht="15.75">
      <c r="A95" s="11">
        <f t="shared" si="3"/>
        <v>89</v>
      </c>
      <c r="B95" s="19" t="s">
        <v>959</v>
      </c>
      <c r="C95" s="19" t="s">
        <v>942</v>
      </c>
      <c r="D95" s="19">
        <v>101804</v>
      </c>
      <c r="E95" s="377" t="s">
        <v>625</v>
      </c>
      <c r="F95" s="14">
        <v>133.05000000000001</v>
      </c>
      <c r="G95" s="20">
        <v>126.71</v>
      </c>
      <c r="H95" s="21">
        <v>6.34</v>
      </c>
      <c r="I95" s="14"/>
      <c r="J95" s="18">
        <f t="shared" si="4"/>
        <v>133.04999999999998</v>
      </c>
      <c r="K95" s="32"/>
      <c r="L95" s="33">
        <f t="shared" si="5"/>
        <v>2.8421709430404007E-14</v>
      </c>
      <c r="M95" s="218"/>
      <c r="N95" s="6"/>
    </row>
    <row r="96" spans="1:14" ht="15.75">
      <c r="A96" s="11">
        <f t="shared" si="3"/>
        <v>90</v>
      </c>
      <c r="B96" s="19" t="s">
        <v>626</v>
      </c>
      <c r="C96" s="19" t="s">
        <v>942</v>
      </c>
      <c r="D96" s="19">
        <v>101379</v>
      </c>
      <c r="E96" s="377" t="s">
        <v>144</v>
      </c>
      <c r="F96" s="14">
        <v>72.33</v>
      </c>
      <c r="G96" s="20">
        <v>50</v>
      </c>
      <c r="H96" s="75">
        <v>2.5</v>
      </c>
      <c r="I96" s="14"/>
      <c r="J96" s="18">
        <f t="shared" si="4"/>
        <v>52.5</v>
      </c>
      <c r="K96" s="32"/>
      <c r="L96" s="33">
        <f t="shared" si="5"/>
        <v>19.829999999999998</v>
      </c>
      <c r="M96" s="215"/>
      <c r="N96" s="6"/>
    </row>
    <row r="97" spans="1:14" ht="15.75">
      <c r="A97" s="11">
        <f t="shared" si="3"/>
        <v>91</v>
      </c>
      <c r="B97" s="30" t="s">
        <v>572</v>
      </c>
      <c r="C97" s="30"/>
      <c r="D97" s="30">
        <v>105122</v>
      </c>
      <c r="E97" s="378" t="s">
        <v>953</v>
      </c>
      <c r="F97" s="14">
        <v>52.5</v>
      </c>
      <c r="G97" s="74">
        <v>50</v>
      </c>
      <c r="H97" s="75">
        <v>2.5</v>
      </c>
      <c r="I97" s="249"/>
      <c r="J97" s="18">
        <f>SUM(G97+H97+I97)</f>
        <v>52.5</v>
      </c>
      <c r="K97" s="35"/>
      <c r="L97" s="33">
        <f t="shared" si="5"/>
        <v>0</v>
      </c>
      <c r="M97" s="215"/>
      <c r="N97" s="40"/>
    </row>
    <row r="98" spans="1:14" ht="15.75">
      <c r="A98" s="11">
        <f t="shared" si="3"/>
        <v>92</v>
      </c>
      <c r="B98" s="116" t="s">
        <v>627</v>
      </c>
      <c r="C98" s="19"/>
      <c r="D98" s="19"/>
      <c r="E98" s="379" t="s">
        <v>628</v>
      </c>
      <c r="F98" s="14">
        <v>52.5</v>
      </c>
      <c r="G98" s="74">
        <v>50</v>
      </c>
      <c r="H98" s="54">
        <v>2.5</v>
      </c>
      <c r="I98" s="14"/>
      <c r="J98" s="18">
        <f t="shared" si="4"/>
        <v>52.5</v>
      </c>
      <c r="K98" s="32"/>
      <c r="L98" s="33">
        <f>+(F98-((SUM(J98+K98))))</f>
        <v>0</v>
      </c>
      <c r="M98" s="215"/>
      <c r="N98" s="59" t="s">
        <v>525</v>
      </c>
    </row>
    <row r="99" spans="1:14" ht="15.75">
      <c r="A99" s="11">
        <f t="shared" si="3"/>
        <v>93</v>
      </c>
      <c r="B99" s="19" t="s">
        <v>629</v>
      </c>
      <c r="C99" s="19"/>
      <c r="D99" s="19"/>
      <c r="E99" s="379" t="s">
        <v>630</v>
      </c>
      <c r="F99" s="14">
        <v>52.5</v>
      </c>
      <c r="G99" s="74">
        <v>50</v>
      </c>
      <c r="H99" s="75">
        <v>2.5</v>
      </c>
      <c r="I99" s="14"/>
      <c r="J99" s="18">
        <f t="shared" si="4"/>
        <v>52.5</v>
      </c>
      <c r="K99" s="32"/>
      <c r="L99" s="33">
        <f t="shared" si="5"/>
        <v>0</v>
      </c>
      <c r="M99" s="215"/>
      <c r="N99" s="60" t="s">
        <v>79</v>
      </c>
    </row>
    <row r="100" spans="1:14" ht="15.75">
      <c r="A100" s="11">
        <f t="shared" si="3"/>
        <v>94</v>
      </c>
      <c r="B100" s="30" t="s">
        <v>633</v>
      </c>
      <c r="C100" s="19" t="s">
        <v>942</v>
      </c>
      <c r="D100" s="19">
        <v>101410</v>
      </c>
      <c r="E100" s="359" t="s">
        <v>634</v>
      </c>
      <c r="F100" s="14">
        <v>315</v>
      </c>
      <c r="G100" s="74">
        <v>100</v>
      </c>
      <c r="H100" s="75">
        <v>5</v>
      </c>
      <c r="I100" s="14"/>
      <c r="J100" s="18">
        <f t="shared" si="4"/>
        <v>105</v>
      </c>
      <c r="K100" s="35"/>
      <c r="L100" s="36">
        <f>+(F100-((SUM(J100+K100))))</f>
        <v>210</v>
      </c>
      <c r="M100" s="215"/>
      <c r="N100" s="40"/>
    </row>
    <row r="101" spans="1:14" ht="15.75">
      <c r="A101" s="11">
        <f t="shared" si="3"/>
        <v>95</v>
      </c>
      <c r="B101" s="19" t="s">
        <v>635</v>
      </c>
      <c r="C101" s="19" t="s">
        <v>942</v>
      </c>
      <c r="D101" s="19">
        <v>101458</v>
      </c>
      <c r="E101" s="356" t="s">
        <v>960</v>
      </c>
      <c r="F101" s="14">
        <v>52.5</v>
      </c>
      <c r="G101" s="74">
        <v>50</v>
      </c>
      <c r="H101" s="75">
        <v>2.5</v>
      </c>
      <c r="I101" s="14"/>
      <c r="J101" s="18">
        <f t="shared" si="4"/>
        <v>52.5</v>
      </c>
      <c r="K101" s="32"/>
      <c r="L101" s="33">
        <f t="shared" si="5"/>
        <v>0</v>
      </c>
      <c r="M101" s="215"/>
      <c r="N101" s="40"/>
    </row>
    <row r="102" spans="1:14" ht="15.75">
      <c r="A102" s="11">
        <f t="shared" si="3"/>
        <v>96</v>
      </c>
      <c r="B102" s="19" t="s">
        <v>637</v>
      </c>
      <c r="C102" s="19" t="s">
        <v>942</v>
      </c>
      <c r="D102" s="19">
        <v>101018</v>
      </c>
      <c r="E102" s="356" t="s">
        <v>961</v>
      </c>
      <c r="F102" s="14">
        <v>52.5</v>
      </c>
      <c r="G102" s="74">
        <v>50</v>
      </c>
      <c r="H102" s="54">
        <v>2.5</v>
      </c>
      <c r="I102" s="14"/>
      <c r="J102" s="18">
        <f t="shared" si="4"/>
        <v>52.5</v>
      </c>
      <c r="K102" s="32"/>
      <c r="L102" s="33">
        <f t="shared" si="5"/>
        <v>0</v>
      </c>
      <c r="M102" s="215"/>
      <c r="N102" s="40"/>
    </row>
    <row r="103" spans="1:14" ht="15.75">
      <c r="A103" s="11">
        <f t="shared" si="3"/>
        <v>97</v>
      </c>
      <c r="B103" s="19" t="s">
        <v>639</v>
      </c>
      <c r="C103" s="19" t="s">
        <v>942</v>
      </c>
      <c r="D103" s="19">
        <v>101800</v>
      </c>
      <c r="E103" s="356" t="s">
        <v>640</v>
      </c>
      <c r="F103" s="14">
        <v>52.5</v>
      </c>
      <c r="G103" s="20">
        <v>50</v>
      </c>
      <c r="H103" s="21">
        <v>2.5</v>
      </c>
      <c r="I103" s="14"/>
      <c r="J103" s="18">
        <f t="shared" si="4"/>
        <v>52.5</v>
      </c>
      <c r="K103" s="32"/>
      <c r="L103" s="33">
        <f>+(F103-((SUM(J103+K103))))</f>
        <v>0</v>
      </c>
      <c r="M103" s="215" t="s">
        <v>1082</v>
      </c>
      <c r="N103" s="40"/>
    </row>
    <row r="104" spans="1:14" ht="15.75">
      <c r="A104" s="11">
        <f t="shared" si="3"/>
        <v>98</v>
      </c>
      <c r="B104" s="19" t="s">
        <v>641</v>
      </c>
      <c r="C104" s="19" t="s">
        <v>942</v>
      </c>
      <c r="D104" s="19">
        <v>101606</v>
      </c>
      <c r="E104" s="355" t="s">
        <v>642</v>
      </c>
      <c r="F104" s="14">
        <v>52.5</v>
      </c>
      <c r="G104" s="74">
        <v>50</v>
      </c>
      <c r="H104" s="21">
        <v>2.5</v>
      </c>
      <c r="I104" s="14"/>
      <c r="J104" s="18">
        <f t="shared" si="4"/>
        <v>52.5</v>
      </c>
      <c r="K104" s="32"/>
      <c r="L104" s="33">
        <f>+(F104-((SUM(J104+K104))))</f>
        <v>0</v>
      </c>
      <c r="M104" s="215"/>
      <c r="N104" s="195"/>
    </row>
    <row r="105" spans="1:14" ht="15.75">
      <c r="A105" s="11">
        <f t="shared" si="3"/>
        <v>99</v>
      </c>
      <c r="B105" s="19" t="s">
        <v>643</v>
      </c>
      <c r="C105" s="19" t="s">
        <v>942</v>
      </c>
      <c r="D105" s="19">
        <v>101663</v>
      </c>
      <c r="E105" s="355" t="s">
        <v>644</v>
      </c>
      <c r="F105" s="14">
        <v>52.5</v>
      </c>
      <c r="G105" s="74">
        <v>50</v>
      </c>
      <c r="H105" s="75">
        <v>2.5</v>
      </c>
      <c r="I105" s="14"/>
      <c r="J105" s="18">
        <f t="shared" si="4"/>
        <v>52.5</v>
      </c>
      <c r="K105" s="32"/>
      <c r="L105" s="33">
        <f t="shared" si="5"/>
        <v>0</v>
      </c>
      <c r="M105" s="37"/>
      <c r="N105" s="194"/>
    </row>
    <row r="106" spans="1:14" ht="15.75">
      <c r="A106" s="11">
        <f t="shared" si="3"/>
        <v>100</v>
      </c>
      <c r="B106" s="19" t="s">
        <v>645</v>
      </c>
      <c r="C106" s="19" t="s">
        <v>942</v>
      </c>
      <c r="D106" s="19">
        <v>101716</v>
      </c>
      <c r="E106" s="356" t="s">
        <v>646</v>
      </c>
      <c r="F106" s="14">
        <v>105</v>
      </c>
      <c r="G106" s="74">
        <v>100</v>
      </c>
      <c r="H106" s="75">
        <v>5</v>
      </c>
      <c r="I106" s="14"/>
      <c r="J106" s="18">
        <f t="shared" si="4"/>
        <v>105</v>
      </c>
      <c r="K106" s="32"/>
      <c r="L106" s="36">
        <f t="shared" si="5"/>
        <v>0</v>
      </c>
      <c r="M106" s="37"/>
      <c r="N106" s="6" t="s">
        <v>539</v>
      </c>
    </row>
    <row r="107" spans="1:14" ht="15.75">
      <c r="A107" s="11">
        <f t="shared" si="3"/>
        <v>101</v>
      </c>
      <c r="B107" s="19" t="s">
        <v>647</v>
      </c>
      <c r="C107" s="19" t="s">
        <v>942</v>
      </c>
      <c r="D107" s="19">
        <v>101815</v>
      </c>
      <c r="E107" s="355" t="s">
        <v>648</v>
      </c>
      <c r="F107" s="14">
        <v>52.5</v>
      </c>
      <c r="G107" s="20">
        <v>50</v>
      </c>
      <c r="H107" s="21">
        <v>2.5</v>
      </c>
      <c r="I107" s="14"/>
      <c r="J107" s="18">
        <f t="shared" si="4"/>
        <v>52.5</v>
      </c>
      <c r="K107" s="32"/>
      <c r="L107" s="33">
        <f t="shared" si="5"/>
        <v>0</v>
      </c>
      <c r="M107" s="215"/>
      <c r="N107" s="6" t="s">
        <v>542</v>
      </c>
    </row>
    <row r="108" spans="1:14" ht="15.75">
      <c r="A108" s="11">
        <f t="shared" si="3"/>
        <v>102</v>
      </c>
      <c r="B108" s="19" t="s">
        <v>0</v>
      </c>
      <c r="C108" s="19" t="s">
        <v>942</v>
      </c>
      <c r="D108" s="19">
        <v>101623</v>
      </c>
      <c r="E108" s="356" t="s">
        <v>962</v>
      </c>
      <c r="F108" s="14">
        <v>52.5</v>
      </c>
      <c r="G108" s="74">
        <v>50</v>
      </c>
      <c r="H108" s="75">
        <v>2.5</v>
      </c>
      <c r="I108" s="14"/>
      <c r="J108" s="18">
        <f>SUM(G108+H108+I108)</f>
        <v>52.5</v>
      </c>
      <c r="K108" s="32"/>
      <c r="L108" s="36">
        <f>+(F108-((SUM(J108+K108))))</f>
        <v>0</v>
      </c>
      <c r="M108" s="215"/>
      <c r="N108" s="40"/>
    </row>
    <row r="109" spans="1:14" ht="15.75">
      <c r="A109" s="11">
        <f t="shared" si="3"/>
        <v>103</v>
      </c>
      <c r="B109" s="19" t="s">
        <v>419</v>
      </c>
      <c r="C109" s="19" t="s">
        <v>942</v>
      </c>
      <c r="D109" s="19">
        <v>105230</v>
      </c>
      <c r="E109" s="355" t="s">
        <v>963</v>
      </c>
      <c r="F109" s="14">
        <v>105</v>
      </c>
      <c r="G109" s="74">
        <v>100</v>
      </c>
      <c r="H109" s="75">
        <v>5</v>
      </c>
      <c r="I109" s="14"/>
      <c r="J109" s="18">
        <f>SUM(G109+H109+I109)</f>
        <v>105</v>
      </c>
      <c r="K109" s="32"/>
      <c r="L109" s="33">
        <f>+(F109-((SUM(J109+K109))))</f>
        <v>0</v>
      </c>
      <c r="M109" s="37"/>
      <c r="N109" s="40"/>
    </row>
    <row r="110" spans="1:14" ht="15.75">
      <c r="A110" s="11">
        <f t="shared" si="3"/>
        <v>104</v>
      </c>
      <c r="B110" s="19" t="s">
        <v>649</v>
      </c>
      <c r="C110" s="19" t="s">
        <v>942</v>
      </c>
      <c r="D110" s="19">
        <v>101803</v>
      </c>
      <c r="E110" s="356" t="s">
        <v>650</v>
      </c>
      <c r="F110" s="14">
        <v>52.5</v>
      </c>
      <c r="G110" s="74">
        <v>50</v>
      </c>
      <c r="H110" s="54">
        <v>2.5</v>
      </c>
      <c r="I110" s="14"/>
      <c r="J110" s="18">
        <f t="shared" si="4"/>
        <v>52.5</v>
      </c>
      <c r="K110" s="32"/>
      <c r="L110" s="33">
        <f t="shared" ref="L110:L201" si="6">+(F110-((SUM(J110+K110))))</f>
        <v>0</v>
      </c>
      <c r="M110" s="37"/>
      <c r="N110" s="40"/>
    </row>
    <row r="111" spans="1:14" ht="15.75">
      <c r="A111" s="11">
        <f t="shared" si="3"/>
        <v>105</v>
      </c>
      <c r="B111" s="19" t="s">
        <v>651</v>
      </c>
      <c r="C111" s="212" t="s">
        <v>942</v>
      </c>
      <c r="D111" s="19">
        <v>101793</v>
      </c>
      <c r="E111" s="355" t="s">
        <v>652</v>
      </c>
      <c r="F111" s="14">
        <v>52.5</v>
      </c>
      <c r="G111" s="74">
        <v>50</v>
      </c>
      <c r="H111" s="75">
        <v>2.5</v>
      </c>
      <c r="I111" s="14"/>
      <c r="J111" s="18">
        <f t="shared" si="4"/>
        <v>52.5</v>
      </c>
      <c r="K111" s="32"/>
      <c r="L111" s="33">
        <f t="shared" si="6"/>
        <v>0</v>
      </c>
      <c r="M111" s="215"/>
      <c r="N111" s="195"/>
    </row>
    <row r="112" spans="1:14" ht="15.75">
      <c r="A112" s="11">
        <f t="shared" si="3"/>
        <v>106</v>
      </c>
      <c r="B112" s="224" t="s">
        <v>653</v>
      </c>
      <c r="C112" s="19" t="s">
        <v>942</v>
      </c>
      <c r="D112" s="19">
        <v>101728</v>
      </c>
      <c r="E112" s="355" t="s">
        <v>654</v>
      </c>
      <c r="F112" s="14">
        <v>52.5</v>
      </c>
      <c r="G112" s="20">
        <v>50</v>
      </c>
      <c r="H112" s="21">
        <v>2.5</v>
      </c>
      <c r="I112" s="14"/>
      <c r="J112" s="18">
        <f t="shared" si="4"/>
        <v>52.5</v>
      </c>
      <c r="K112" s="32"/>
      <c r="L112" s="33">
        <f t="shared" si="6"/>
        <v>0</v>
      </c>
      <c r="M112" s="215"/>
      <c r="N112" s="194"/>
    </row>
    <row r="113" spans="1:14" ht="15.75">
      <c r="A113" s="11">
        <f t="shared" si="3"/>
        <v>107</v>
      </c>
      <c r="B113" s="19" t="s">
        <v>655</v>
      </c>
      <c r="C113" s="19" t="s">
        <v>942</v>
      </c>
      <c r="D113" s="19">
        <v>101055</v>
      </c>
      <c r="E113" s="356" t="s">
        <v>656</v>
      </c>
      <c r="F113" s="14">
        <v>52.5</v>
      </c>
      <c r="G113" s="53">
        <v>50</v>
      </c>
      <c r="H113" s="54">
        <v>2.5</v>
      </c>
      <c r="I113" s="14"/>
      <c r="J113" s="18">
        <f t="shared" si="4"/>
        <v>52.5</v>
      </c>
      <c r="K113" s="32"/>
      <c r="L113" s="33">
        <f t="shared" si="6"/>
        <v>0</v>
      </c>
      <c r="M113" s="215"/>
      <c r="N113" s="6" t="s">
        <v>557</v>
      </c>
    </row>
    <row r="114" spans="1:14" ht="15.75">
      <c r="A114" s="11">
        <f t="shared" si="3"/>
        <v>108</v>
      </c>
      <c r="B114" s="19" t="s">
        <v>902</v>
      </c>
      <c r="C114" s="19" t="s">
        <v>942</v>
      </c>
      <c r="D114" s="19">
        <v>101491</v>
      </c>
      <c r="E114" s="356" t="s">
        <v>903</v>
      </c>
      <c r="F114" s="14">
        <v>52.5</v>
      </c>
      <c r="G114" s="74">
        <v>50</v>
      </c>
      <c r="H114" s="54">
        <v>2.5</v>
      </c>
      <c r="I114" s="14"/>
      <c r="J114" s="18">
        <f>SUM(G114+H114+I114)</f>
        <v>52.5</v>
      </c>
      <c r="K114" s="32"/>
      <c r="L114" s="33">
        <f>+(F114-((SUM(J114+K114))))</f>
        <v>0</v>
      </c>
      <c r="M114" s="215"/>
      <c r="N114" s="6" t="s">
        <v>559</v>
      </c>
    </row>
    <row r="115" spans="1:14" ht="15.75">
      <c r="A115" s="11">
        <f t="shared" si="3"/>
        <v>109</v>
      </c>
      <c r="B115" s="19" t="s">
        <v>850</v>
      </c>
      <c r="C115" s="19" t="s">
        <v>942</v>
      </c>
      <c r="D115" s="19">
        <v>101730</v>
      </c>
      <c r="E115" s="355" t="s">
        <v>851</v>
      </c>
      <c r="F115" s="14">
        <v>52.5</v>
      </c>
      <c r="G115" s="20">
        <v>50</v>
      </c>
      <c r="H115" s="21">
        <v>2.5</v>
      </c>
      <c r="I115" s="62"/>
      <c r="J115" s="18">
        <f>SUM(G115+H115+I115)</f>
        <v>52.5</v>
      </c>
      <c r="K115" s="32"/>
      <c r="L115" s="33">
        <f>+(F115-((SUM(J115+K115))))</f>
        <v>0</v>
      </c>
      <c r="M115" s="37"/>
      <c r="N115" s="6"/>
    </row>
    <row r="116" spans="1:14" ht="15.75">
      <c r="A116" s="11">
        <f t="shared" si="3"/>
        <v>110</v>
      </c>
      <c r="B116" s="30" t="s">
        <v>1023</v>
      </c>
      <c r="C116" s="19" t="s">
        <v>942</v>
      </c>
      <c r="D116" s="386">
        <v>101846</v>
      </c>
      <c r="E116" s="378" t="s">
        <v>1083</v>
      </c>
      <c r="F116" s="14">
        <v>116.3</v>
      </c>
      <c r="G116" s="74">
        <v>100</v>
      </c>
      <c r="H116" s="75">
        <v>5</v>
      </c>
      <c r="I116" s="249">
        <v>11.3</v>
      </c>
      <c r="J116" s="18">
        <f>SUM(G116+H116+I116)</f>
        <v>116.3</v>
      </c>
      <c r="K116" s="35"/>
      <c r="L116" s="36">
        <f>+(F116-((SUM(J116+K116))))</f>
        <v>0</v>
      </c>
      <c r="M116" s="215"/>
      <c r="N116" s="40"/>
    </row>
    <row r="117" spans="1:14" ht="15.75">
      <c r="A117" s="11">
        <f t="shared" si="3"/>
        <v>111</v>
      </c>
      <c r="B117" s="301" t="s">
        <v>1067</v>
      </c>
      <c r="C117" s="19" t="s">
        <v>942</v>
      </c>
      <c r="D117" s="197">
        <v>101866</v>
      </c>
      <c r="E117" s="356" t="s">
        <v>1085</v>
      </c>
      <c r="F117" s="14">
        <v>52.5</v>
      </c>
      <c r="G117" s="238">
        <v>50</v>
      </c>
      <c r="H117" s="131">
        <v>2.5</v>
      </c>
      <c r="I117" s="14"/>
      <c r="J117" s="18">
        <f>SUM(G117+H117+I117)</f>
        <v>52.5</v>
      </c>
      <c r="K117" s="32"/>
      <c r="L117" s="33">
        <f>+(F117-((SUM(J117+K117))))</f>
        <v>0</v>
      </c>
      <c r="M117" s="215"/>
      <c r="N117" s="194"/>
    </row>
    <row r="118" spans="1:14" ht="15.75">
      <c r="A118" s="11">
        <f t="shared" si="3"/>
        <v>112</v>
      </c>
      <c r="B118" s="19" t="s">
        <v>657</v>
      </c>
      <c r="C118" s="19" t="s">
        <v>942</v>
      </c>
      <c r="D118" s="19">
        <v>100000</v>
      </c>
      <c r="E118" s="356" t="s">
        <v>658</v>
      </c>
      <c r="F118" s="14">
        <v>105</v>
      </c>
      <c r="G118" s="53">
        <v>100</v>
      </c>
      <c r="H118" s="54">
        <v>5</v>
      </c>
      <c r="I118" s="14"/>
      <c r="J118" s="18">
        <f t="shared" si="4"/>
        <v>105</v>
      </c>
      <c r="K118" s="32"/>
      <c r="L118" s="33">
        <f t="shared" si="6"/>
        <v>0</v>
      </c>
      <c r="M118" s="215"/>
    </row>
    <row r="119" spans="1:14" ht="15.75">
      <c r="A119" s="11">
        <f t="shared" si="3"/>
        <v>113</v>
      </c>
      <c r="B119" s="30" t="s">
        <v>659</v>
      </c>
      <c r="C119" s="19" t="s">
        <v>942</v>
      </c>
      <c r="D119" s="19">
        <v>101600</v>
      </c>
      <c r="E119" s="315" t="s">
        <v>660</v>
      </c>
      <c r="F119" s="14">
        <v>701.25</v>
      </c>
      <c r="G119" s="74">
        <v>245</v>
      </c>
      <c r="H119" s="75">
        <v>6.25</v>
      </c>
      <c r="I119" s="249"/>
      <c r="J119" s="18">
        <f t="shared" si="4"/>
        <v>251.25</v>
      </c>
      <c r="K119" s="35"/>
      <c r="L119" s="36">
        <f t="shared" si="6"/>
        <v>450</v>
      </c>
      <c r="M119" s="215"/>
    </row>
    <row r="120" spans="1:14" ht="15.75">
      <c r="A120" s="11">
        <f t="shared" si="3"/>
        <v>114</v>
      </c>
      <c r="B120" s="19" t="s">
        <v>662</v>
      </c>
      <c r="C120" s="19" t="s">
        <v>942</v>
      </c>
      <c r="D120" s="19">
        <v>101809</v>
      </c>
      <c r="E120" s="355" t="s">
        <v>663</v>
      </c>
      <c r="F120" s="14">
        <v>210</v>
      </c>
      <c r="G120" s="74">
        <v>200</v>
      </c>
      <c r="H120" s="75">
        <v>10</v>
      </c>
      <c r="I120" s="14"/>
      <c r="J120" s="18">
        <f t="shared" si="4"/>
        <v>210</v>
      </c>
      <c r="K120" s="32"/>
      <c r="L120" s="33">
        <f t="shared" si="6"/>
        <v>0</v>
      </c>
      <c r="M120" s="215"/>
    </row>
    <row r="121" spans="1:14" ht="15.75">
      <c r="A121" s="11">
        <f t="shared" si="3"/>
        <v>115</v>
      </c>
      <c r="B121" s="30" t="s">
        <v>664</v>
      </c>
      <c r="C121" s="19" t="s">
        <v>942</v>
      </c>
      <c r="D121" s="19">
        <v>101721</v>
      </c>
      <c r="E121" s="359" t="s">
        <v>665</v>
      </c>
      <c r="F121" s="14">
        <v>105</v>
      </c>
      <c r="G121" s="74">
        <v>100</v>
      </c>
      <c r="H121" s="75">
        <v>5</v>
      </c>
      <c r="I121" s="249"/>
      <c r="J121" s="18">
        <f t="shared" si="4"/>
        <v>105</v>
      </c>
      <c r="K121" s="32"/>
      <c r="L121" s="33">
        <f>+(F121-((SUM(J121+K121))))</f>
        <v>0</v>
      </c>
      <c r="M121" s="215"/>
    </row>
    <row r="122" spans="1:14" ht="15.75">
      <c r="A122" s="11">
        <f t="shared" si="3"/>
        <v>116</v>
      </c>
      <c r="B122" s="30" t="s">
        <v>667</v>
      </c>
      <c r="C122" s="19" t="s">
        <v>942</v>
      </c>
      <c r="D122" s="212">
        <v>101571</v>
      </c>
      <c r="E122" s="359" t="s">
        <v>668</v>
      </c>
      <c r="F122" s="14">
        <v>52.5</v>
      </c>
      <c r="G122" s="26">
        <v>50</v>
      </c>
      <c r="H122" s="27">
        <v>2.5</v>
      </c>
      <c r="I122" s="249"/>
      <c r="J122" s="18">
        <f t="shared" si="4"/>
        <v>52.5</v>
      </c>
      <c r="K122" s="35"/>
      <c r="L122" s="36">
        <f t="shared" si="6"/>
        <v>0</v>
      </c>
      <c r="M122" s="215"/>
      <c r="N122" s="40"/>
    </row>
    <row r="123" spans="1:14" ht="15.75">
      <c r="A123" s="11">
        <f t="shared" si="3"/>
        <v>117</v>
      </c>
      <c r="B123" s="19" t="s">
        <v>669</v>
      </c>
      <c r="C123" s="19" t="s">
        <v>942</v>
      </c>
      <c r="D123" s="19">
        <v>101662</v>
      </c>
      <c r="E123" s="410" t="s">
        <v>262</v>
      </c>
      <c r="F123" s="14">
        <v>52.5</v>
      </c>
      <c r="G123" s="74">
        <v>50</v>
      </c>
      <c r="H123" s="75">
        <v>2.5</v>
      </c>
      <c r="I123" s="14"/>
      <c r="J123" s="18">
        <f t="shared" si="4"/>
        <v>52.5</v>
      </c>
      <c r="K123" s="32"/>
      <c r="L123" s="33">
        <f t="shared" si="6"/>
        <v>0</v>
      </c>
      <c r="M123" s="215"/>
      <c r="N123" s="40"/>
    </row>
    <row r="124" spans="1:14" ht="15.75">
      <c r="A124" s="11">
        <f t="shared" si="3"/>
        <v>118</v>
      </c>
      <c r="B124" s="30" t="s">
        <v>670</v>
      </c>
      <c r="C124" s="19" t="s">
        <v>942</v>
      </c>
      <c r="D124" s="19">
        <v>101515</v>
      </c>
      <c r="E124" s="359" t="s">
        <v>671</v>
      </c>
      <c r="F124" s="14">
        <v>210</v>
      </c>
      <c r="G124" s="26">
        <v>200</v>
      </c>
      <c r="H124" s="27">
        <v>10</v>
      </c>
      <c r="I124" s="248"/>
      <c r="J124" s="18">
        <f t="shared" si="4"/>
        <v>210</v>
      </c>
      <c r="K124" s="35"/>
      <c r="L124" s="36">
        <f t="shared" si="6"/>
        <v>0</v>
      </c>
      <c r="M124" s="37"/>
      <c r="N124" s="40"/>
    </row>
    <row r="125" spans="1:14" ht="15.75">
      <c r="A125" s="11">
        <f t="shared" si="3"/>
        <v>119</v>
      </c>
      <c r="B125" s="19" t="s">
        <v>672</v>
      </c>
      <c r="C125" s="19" t="s">
        <v>942</v>
      </c>
      <c r="D125" s="19">
        <v>101483</v>
      </c>
      <c r="E125" s="356" t="s">
        <v>140</v>
      </c>
      <c r="F125" s="14">
        <v>840</v>
      </c>
      <c r="G125" s="20">
        <v>800</v>
      </c>
      <c r="H125" s="21">
        <v>40</v>
      </c>
      <c r="I125" s="14"/>
      <c r="J125" s="18">
        <f t="shared" si="4"/>
        <v>840</v>
      </c>
      <c r="K125" s="32"/>
      <c r="L125" s="33">
        <f t="shared" si="6"/>
        <v>0</v>
      </c>
      <c r="M125" s="37"/>
      <c r="N125" s="40"/>
    </row>
    <row r="126" spans="1:14" ht="15.75">
      <c r="A126" s="11">
        <f t="shared" si="3"/>
        <v>120</v>
      </c>
      <c r="B126" s="333" t="s">
        <v>1017</v>
      </c>
      <c r="C126" s="19" t="s">
        <v>942</v>
      </c>
      <c r="D126" s="19">
        <v>105497</v>
      </c>
      <c r="E126" s="316" t="s">
        <v>1044</v>
      </c>
      <c r="F126" s="281">
        <v>105</v>
      </c>
      <c r="G126" s="274">
        <v>100</v>
      </c>
      <c r="H126" s="275">
        <v>5</v>
      </c>
      <c r="I126" s="277"/>
      <c r="J126" s="18">
        <f>SUM(G126+H126+I126)</f>
        <v>105</v>
      </c>
      <c r="K126" s="35"/>
      <c r="L126" s="36">
        <f>+(F126-((SUM(J126+K126))))</f>
        <v>0</v>
      </c>
      <c r="M126" s="215"/>
      <c r="N126" s="40"/>
    </row>
    <row r="127" spans="1:14" ht="15.75">
      <c r="A127" s="11">
        <f t="shared" si="3"/>
        <v>121</v>
      </c>
      <c r="B127" s="19" t="s">
        <v>673</v>
      </c>
      <c r="C127" s="19" t="s">
        <v>942</v>
      </c>
      <c r="D127" s="19">
        <v>101607</v>
      </c>
      <c r="E127" s="355" t="s">
        <v>674</v>
      </c>
      <c r="F127" s="14">
        <v>52.5</v>
      </c>
      <c r="G127" s="74">
        <v>50</v>
      </c>
      <c r="H127" s="75">
        <v>2.5</v>
      </c>
      <c r="I127" s="14"/>
      <c r="J127" s="18">
        <f t="shared" si="4"/>
        <v>52.5</v>
      </c>
      <c r="K127" s="32"/>
      <c r="L127" s="33">
        <f t="shared" si="6"/>
        <v>0</v>
      </c>
      <c r="M127" s="215"/>
      <c r="N127" s="6"/>
    </row>
    <row r="128" spans="1:14" ht="15.75">
      <c r="A128" s="11">
        <f t="shared" si="3"/>
        <v>122</v>
      </c>
      <c r="B128" s="19" t="s">
        <v>828</v>
      </c>
      <c r="C128" s="19" t="s">
        <v>942</v>
      </c>
      <c r="D128" s="19">
        <v>101094</v>
      </c>
      <c r="E128" s="355" t="s">
        <v>829</v>
      </c>
      <c r="F128" s="14">
        <v>258.45999999999998</v>
      </c>
      <c r="G128" s="53">
        <v>100</v>
      </c>
      <c r="H128" s="54">
        <v>5</v>
      </c>
      <c r="I128" s="248">
        <v>153.46</v>
      </c>
      <c r="J128" s="18">
        <f t="shared" si="4"/>
        <v>258.46000000000004</v>
      </c>
      <c r="K128" s="32"/>
      <c r="L128" s="33">
        <f>+(F128-((SUM(J128+K128))))</f>
        <v>-5.6843418860808015E-14</v>
      </c>
      <c r="M128" s="37" t="s">
        <v>1076</v>
      </c>
      <c r="N128" s="6"/>
    </row>
    <row r="129" spans="1:14" ht="15.75">
      <c r="A129" s="11">
        <f t="shared" si="3"/>
        <v>123</v>
      </c>
      <c r="B129" s="30" t="s">
        <v>830</v>
      </c>
      <c r="C129" s="19" t="s">
        <v>942</v>
      </c>
      <c r="D129" s="19">
        <v>101027</v>
      </c>
      <c r="E129" s="315" t="s">
        <v>290</v>
      </c>
      <c r="F129" s="249">
        <v>168.34</v>
      </c>
      <c r="G129" s="74">
        <v>100</v>
      </c>
      <c r="H129" s="75">
        <v>5</v>
      </c>
      <c r="I129" s="248"/>
      <c r="J129" s="18">
        <f t="shared" si="4"/>
        <v>105</v>
      </c>
      <c r="K129" s="77"/>
      <c r="L129" s="33">
        <f>+(F129-((SUM(J129+K129))))</f>
        <v>63.34</v>
      </c>
      <c r="M129" s="37" t="s">
        <v>1076</v>
      </c>
      <c r="N129" s="6"/>
    </row>
    <row r="130" spans="1:14" ht="15.75">
      <c r="A130" s="11">
        <f t="shared" si="3"/>
        <v>124</v>
      </c>
      <c r="B130" s="19" t="s">
        <v>675</v>
      </c>
      <c r="C130" s="19" t="s">
        <v>942</v>
      </c>
      <c r="D130" s="19">
        <v>101516</v>
      </c>
      <c r="E130" s="356" t="s">
        <v>676</v>
      </c>
      <c r="F130" s="14">
        <v>242.46</v>
      </c>
      <c r="G130" s="20">
        <v>200</v>
      </c>
      <c r="H130" s="21">
        <v>10</v>
      </c>
      <c r="I130" s="248">
        <v>14.46</v>
      </c>
      <c r="J130" s="18">
        <f t="shared" si="4"/>
        <v>224.46</v>
      </c>
      <c r="K130" s="32">
        <v>18</v>
      </c>
      <c r="L130" s="33">
        <f t="shared" si="6"/>
        <v>0</v>
      </c>
      <c r="M130" s="37"/>
    </row>
    <row r="131" spans="1:14" ht="15.75">
      <c r="A131" s="11">
        <f t="shared" si="3"/>
        <v>125</v>
      </c>
      <c r="B131" s="19" t="s">
        <v>677</v>
      </c>
      <c r="C131" s="19" t="s">
        <v>942</v>
      </c>
      <c r="D131" s="19">
        <v>101634</v>
      </c>
      <c r="E131" s="355" t="s">
        <v>678</v>
      </c>
      <c r="F131" s="14">
        <v>210</v>
      </c>
      <c r="G131" s="74">
        <v>200</v>
      </c>
      <c r="H131" s="75">
        <v>10</v>
      </c>
      <c r="I131" s="14"/>
      <c r="J131" s="18">
        <f t="shared" si="4"/>
        <v>210</v>
      </c>
      <c r="K131" s="32"/>
      <c r="L131" s="33">
        <f t="shared" si="6"/>
        <v>0</v>
      </c>
      <c r="M131" s="215"/>
    </row>
    <row r="132" spans="1:14" ht="15.75">
      <c r="A132" s="11">
        <f t="shared" si="3"/>
        <v>126</v>
      </c>
      <c r="B132" s="19" t="s">
        <v>679</v>
      </c>
      <c r="C132" s="19" t="s">
        <v>942</v>
      </c>
      <c r="D132" s="19">
        <v>101067</v>
      </c>
      <c r="E132" s="355" t="s">
        <v>77</v>
      </c>
      <c r="F132" s="14">
        <v>105</v>
      </c>
      <c r="G132" s="74">
        <v>100</v>
      </c>
      <c r="H132" s="75">
        <v>5</v>
      </c>
      <c r="I132" s="14"/>
      <c r="J132" s="18">
        <f t="shared" si="4"/>
        <v>105</v>
      </c>
      <c r="K132" s="32"/>
      <c r="L132" s="33">
        <f t="shared" si="6"/>
        <v>0</v>
      </c>
      <c r="M132" s="37" t="s">
        <v>1076</v>
      </c>
    </row>
    <row r="133" spans="1:14" ht="15.75">
      <c r="A133" s="11">
        <f t="shared" ref="A133:A196" si="7">1+A132</f>
        <v>127</v>
      </c>
      <c r="B133" s="19" t="s">
        <v>680</v>
      </c>
      <c r="C133" s="19" t="s">
        <v>942</v>
      </c>
      <c r="D133" s="19">
        <v>101565</v>
      </c>
      <c r="E133" s="356" t="s">
        <v>681</v>
      </c>
      <c r="F133" s="14">
        <v>210</v>
      </c>
      <c r="G133" s="20">
        <v>200</v>
      </c>
      <c r="H133" s="21">
        <v>10</v>
      </c>
      <c r="I133" s="14"/>
      <c r="J133" s="18">
        <f t="shared" si="4"/>
        <v>210</v>
      </c>
      <c r="K133" s="32"/>
      <c r="L133" s="33">
        <f t="shared" si="6"/>
        <v>0</v>
      </c>
      <c r="M133" s="215"/>
    </row>
    <row r="134" spans="1:14" ht="15.75">
      <c r="A134" s="11">
        <f t="shared" si="7"/>
        <v>128</v>
      </c>
      <c r="B134" s="30" t="s">
        <v>682</v>
      </c>
      <c r="C134" s="19" t="s">
        <v>942</v>
      </c>
      <c r="D134" s="19">
        <v>101886</v>
      </c>
      <c r="E134" s="315" t="s">
        <v>683</v>
      </c>
      <c r="F134" s="14">
        <v>105</v>
      </c>
      <c r="G134" s="74">
        <v>100</v>
      </c>
      <c r="H134" s="75">
        <v>5</v>
      </c>
      <c r="I134" s="249"/>
      <c r="J134" s="18">
        <f t="shared" si="4"/>
        <v>105</v>
      </c>
      <c r="K134" s="35"/>
      <c r="L134" s="33">
        <f t="shared" si="6"/>
        <v>0</v>
      </c>
      <c r="M134" s="37"/>
    </row>
    <row r="135" spans="1:14" ht="15.75">
      <c r="A135" s="11">
        <f t="shared" si="7"/>
        <v>129</v>
      </c>
      <c r="B135" s="19" t="s">
        <v>684</v>
      </c>
      <c r="C135" s="19" t="s">
        <v>942</v>
      </c>
      <c r="D135" s="19">
        <v>101066</v>
      </c>
      <c r="E135" s="355" t="s">
        <v>84</v>
      </c>
      <c r="F135" s="14">
        <v>130.38999999999999</v>
      </c>
      <c r="G135" s="26">
        <v>100</v>
      </c>
      <c r="H135" s="27">
        <v>5</v>
      </c>
      <c r="I135" s="14">
        <v>25.39</v>
      </c>
      <c r="J135" s="18">
        <f t="shared" si="4"/>
        <v>130.38999999999999</v>
      </c>
      <c r="K135" s="32"/>
      <c r="L135" s="33">
        <f t="shared" si="6"/>
        <v>0</v>
      </c>
      <c r="M135" s="215" t="s">
        <v>1076</v>
      </c>
    </row>
    <row r="136" spans="1:14" ht="15.75">
      <c r="A136" s="11">
        <f t="shared" si="7"/>
        <v>130</v>
      </c>
      <c r="B136" s="19" t="s">
        <v>685</v>
      </c>
      <c r="C136" s="19" t="s">
        <v>942</v>
      </c>
      <c r="D136" s="19">
        <v>101684</v>
      </c>
      <c r="E136" s="355" t="s">
        <v>346</v>
      </c>
      <c r="F136" s="14">
        <v>52.5</v>
      </c>
      <c r="G136" s="74">
        <v>50</v>
      </c>
      <c r="H136" s="75">
        <v>2.5</v>
      </c>
      <c r="I136" s="14"/>
      <c r="J136" s="18">
        <f t="shared" si="4"/>
        <v>52.5</v>
      </c>
      <c r="K136" s="32"/>
      <c r="L136" s="33">
        <f t="shared" si="6"/>
        <v>0</v>
      </c>
      <c r="M136" s="215"/>
    </row>
    <row r="137" spans="1:14" ht="15.75">
      <c r="A137" s="11">
        <f t="shared" si="7"/>
        <v>131</v>
      </c>
      <c r="B137" s="19" t="s">
        <v>63</v>
      </c>
      <c r="C137" s="19" t="s">
        <v>942</v>
      </c>
      <c r="D137" s="19">
        <v>101825</v>
      </c>
      <c r="E137" s="356" t="s">
        <v>686</v>
      </c>
      <c r="F137" s="14">
        <v>105</v>
      </c>
      <c r="G137" s="53">
        <v>100</v>
      </c>
      <c r="H137" s="54">
        <v>5</v>
      </c>
      <c r="I137" s="14"/>
      <c r="J137" s="18">
        <f t="shared" si="4"/>
        <v>105</v>
      </c>
      <c r="K137" s="32"/>
      <c r="L137" s="33">
        <f t="shared" si="6"/>
        <v>0</v>
      </c>
      <c r="M137" s="37"/>
    </row>
    <row r="138" spans="1:14" ht="15.75">
      <c r="A138" s="11">
        <f t="shared" si="7"/>
        <v>132</v>
      </c>
      <c r="B138" s="19" t="s">
        <v>688</v>
      </c>
      <c r="C138" s="19" t="s">
        <v>942</v>
      </c>
      <c r="D138" s="19">
        <v>101808</v>
      </c>
      <c r="E138" s="356" t="s">
        <v>689</v>
      </c>
      <c r="F138" s="14">
        <v>105</v>
      </c>
      <c r="G138" s="74">
        <v>100</v>
      </c>
      <c r="H138" s="54">
        <v>5</v>
      </c>
      <c r="I138" s="14"/>
      <c r="J138" s="18">
        <f>SUM(G138+H138+I138)</f>
        <v>105</v>
      </c>
      <c r="K138" s="32"/>
      <c r="L138" s="33">
        <f>+(F138-((SUM(J138+K138))))</f>
        <v>0</v>
      </c>
      <c r="M138" s="37"/>
      <c r="N138" s="6"/>
    </row>
    <row r="139" spans="1:14" ht="15.75">
      <c r="A139" s="11">
        <f t="shared" si="7"/>
        <v>133</v>
      </c>
      <c r="B139" s="19" t="s">
        <v>666</v>
      </c>
      <c r="C139" s="19" t="s">
        <v>942</v>
      </c>
      <c r="D139" s="19">
        <v>101189</v>
      </c>
      <c r="E139" s="356" t="s">
        <v>89</v>
      </c>
      <c r="F139" s="14">
        <v>52.5</v>
      </c>
      <c r="G139" s="74">
        <v>50</v>
      </c>
      <c r="H139" s="75">
        <v>2.5</v>
      </c>
      <c r="I139" s="14"/>
      <c r="J139" s="18">
        <f>SUM(G139+H139+I139)</f>
        <v>52.5</v>
      </c>
      <c r="K139" s="32"/>
      <c r="L139" s="33">
        <f>+(F139-((SUM(J139+K139))))</f>
        <v>0</v>
      </c>
      <c r="M139" s="215"/>
      <c r="N139" s="40"/>
    </row>
    <row r="140" spans="1:14" ht="15.75">
      <c r="A140" s="11">
        <f t="shared" si="7"/>
        <v>134</v>
      </c>
      <c r="B140" s="19" t="s">
        <v>5</v>
      </c>
      <c r="C140" s="19" t="s">
        <v>942</v>
      </c>
      <c r="D140" s="19">
        <v>101738</v>
      </c>
      <c r="E140" s="315" t="s">
        <v>687</v>
      </c>
      <c r="F140" s="14">
        <v>105</v>
      </c>
      <c r="G140" s="20">
        <v>100</v>
      </c>
      <c r="H140" s="21">
        <v>5</v>
      </c>
      <c r="I140" s="14"/>
      <c r="J140" s="18">
        <f t="shared" si="4"/>
        <v>105</v>
      </c>
      <c r="K140" s="32"/>
      <c r="L140" s="33">
        <f t="shared" si="6"/>
        <v>0</v>
      </c>
      <c r="M140" s="215"/>
      <c r="N140" s="6"/>
    </row>
    <row r="141" spans="1:14" ht="15.75">
      <c r="A141" s="11">
        <f t="shared" si="7"/>
        <v>135</v>
      </c>
      <c r="B141" s="19" t="s">
        <v>690</v>
      </c>
      <c r="C141" s="19" t="s">
        <v>942</v>
      </c>
      <c r="D141" s="19">
        <v>101756</v>
      </c>
      <c r="E141" s="356" t="s">
        <v>965</v>
      </c>
      <c r="F141" s="14">
        <v>262.5</v>
      </c>
      <c r="G141" s="53">
        <v>250</v>
      </c>
      <c r="H141" s="54">
        <v>12.5</v>
      </c>
      <c r="I141" s="14"/>
      <c r="J141" s="18">
        <f t="shared" si="4"/>
        <v>262.5</v>
      </c>
      <c r="K141" s="32"/>
      <c r="L141" s="33">
        <f t="shared" si="6"/>
        <v>0</v>
      </c>
      <c r="M141" s="37"/>
      <c r="N141" s="6"/>
    </row>
    <row r="142" spans="1:14" ht="15.75">
      <c r="A142" s="11">
        <f t="shared" si="7"/>
        <v>136</v>
      </c>
      <c r="B142" s="301" t="s">
        <v>1047</v>
      </c>
      <c r="C142" s="197" t="s">
        <v>942</v>
      </c>
      <c r="D142" s="197">
        <v>105524</v>
      </c>
      <c r="E142" s="356" t="s">
        <v>1048</v>
      </c>
      <c r="F142" s="14">
        <v>53.92</v>
      </c>
      <c r="G142" s="238">
        <v>50</v>
      </c>
      <c r="H142" s="131">
        <v>2.5</v>
      </c>
      <c r="I142" s="14">
        <v>1.42</v>
      </c>
      <c r="J142" s="18">
        <f>SUM(G142+H142+I142)</f>
        <v>53.92</v>
      </c>
      <c r="K142" s="32"/>
      <c r="L142" s="33">
        <f>+(F142-((SUM(J142+K142))))</f>
        <v>0</v>
      </c>
      <c r="M142" s="215"/>
      <c r="N142" s="6"/>
    </row>
    <row r="143" spans="1:14" ht="15.75">
      <c r="A143" s="11">
        <f t="shared" si="7"/>
        <v>137</v>
      </c>
      <c r="B143" s="116" t="s">
        <v>898</v>
      </c>
      <c r="C143" s="19" t="s">
        <v>942</v>
      </c>
      <c r="D143" s="19">
        <v>101880</v>
      </c>
      <c r="E143" s="356" t="s">
        <v>899</v>
      </c>
      <c r="F143" s="14">
        <v>52.5</v>
      </c>
      <c r="G143" s="74">
        <v>50</v>
      </c>
      <c r="H143" s="54">
        <v>2.5</v>
      </c>
      <c r="I143" s="14"/>
      <c r="J143" s="18">
        <f>SUM(G143+H143+I143)</f>
        <v>52.5</v>
      </c>
      <c r="K143" s="32"/>
      <c r="L143" s="33">
        <f>+(F143-((SUM(J143+K143))))</f>
        <v>0</v>
      </c>
      <c r="M143" s="37"/>
      <c r="N143" s="6"/>
    </row>
    <row r="144" spans="1:14" ht="15.75">
      <c r="A144" s="11">
        <f t="shared" si="7"/>
        <v>138</v>
      </c>
      <c r="B144" s="19" t="s">
        <v>822</v>
      </c>
      <c r="C144" s="19" t="s">
        <v>942</v>
      </c>
      <c r="D144" s="19">
        <v>101042</v>
      </c>
      <c r="E144" s="356" t="s">
        <v>823</v>
      </c>
      <c r="F144" s="14">
        <v>109.64</v>
      </c>
      <c r="G144" s="53">
        <v>100</v>
      </c>
      <c r="H144" s="54">
        <v>5</v>
      </c>
      <c r="I144" s="248">
        <v>4.6399999999999997</v>
      </c>
      <c r="J144" s="18">
        <f t="shared" si="4"/>
        <v>109.64</v>
      </c>
      <c r="K144" s="77"/>
      <c r="L144" s="33">
        <f>+(F144-((SUM(J144+K144))))</f>
        <v>0</v>
      </c>
      <c r="M144" s="37"/>
      <c r="N144" s="6"/>
    </row>
    <row r="145" spans="1:14" ht="15.75">
      <c r="A145" s="11">
        <f t="shared" si="7"/>
        <v>139</v>
      </c>
      <c r="B145" s="19" t="s">
        <v>597</v>
      </c>
      <c r="C145" s="211" t="s">
        <v>942</v>
      </c>
      <c r="D145" s="211">
        <v>105248</v>
      </c>
      <c r="E145" s="356" t="s">
        <v>954</v>
      </c>
      <c r="F145" s="14">
        <v>105</v>
      </c>
      <c r="G145" s="53">
        <v>100</v>
      </c>
      <c r="H145" s="54">
        <v>5</v>
      </c>
      <c r="I145" s="14"/>
      <c r="J145" s="18">
        <f>SUM(G145+H145+I145)</f>
        <v>105</v>
      </c>
      <c r="K145" s="32"/>
      <c r="L145" s="33">
        <f>+(F145-((SUM(J145+K145))))</f>
        <v>0</v>
      </c>
      <c r="M145" s="215" t="s">
        <v>1076</v>
      </c>
      <c r="N145" s="40"/>
    </row>
    <row r="146" spans="1:14" ht="15.75">
      <c r="A146" s="11">
        <f t="shared" si="7"/>
        <v>140</v>
      </c>
      <c r="B146" s="333" t="s">
        <v>1003</v>
      </c>
      <c r="C146" s="19" t="s">
        <v>942</v>
      </c>
      <c r="D146" s="19">
        <v>105556</v>
      </c>
      <c r="E146" s="315" t="s">
        <v>1056</v>
      </c>
      <c r="F146" s="147">
        <v>105</v>
      </c>
      <c r="G146" s="278">
        <v>100</v>
      </c>
      <c r="H146" s="279">
        <v>5</v>
      </c>
      <c r="I146" s="249"/>
      <c r="J146" s="18">
        <f>SUM(G146+H146+I146)</f>
        <v>105</v>
      </c>
      <c r="K146" s="35"/>
      <c r="L146" s="36">
        <f>+(F146-((SUM(J146+K146))))</f>
        <v>0</v>
      </c>
      <c r="M146" s="215"/>
      <c r="N146" s="40"/>
    </row>
    <row r="147" spans="1:14" ht="15.75">
      <c r="A147" s="11">
        <f t="shared" si="7"/>
        <v>141</v>
      </c>
      <c r="B147" s="19" t="s">
        <v>51</v>
      </c>
      <c r="C147" s="19" t="s">
        <v>942</v>
      </c>
      <c r="D147" s="19">
        <v>101736</v>
      </c>
      <c r="E147" s="356" t="s">
        <v>692</v>
      </c>
      <c r="F147" s="14">
        <v>52.5</v>
      </c>
      <c r="G147" s="53">
        <v>50</v>
      </c>
      <c r="H147" s="54">
        <v>2.5</v>
      </c>
      <c r="I147" s="14"/>
      <c r="J147" s="18">
        <f t="shared" si="4"/>
        <v>52.5</v>
      </c>
      <c r="K147" s="32"/>
      <c r="L147" s="33">
        <f t="shared" si="6"/>
        <v>0</v>
      </c>
      <c r="M147" s="37"/>
      <c r="N147" s="40"/>
    </row>
    <row r="148" spans="1:14" ht="15.75">
      <c r="A148" s="11">
        <f t="shared" si="7"/>
        <v>142</v>
      </c>
      <c r="B148" s="19" t="s">
        <v>696</v>
      </c>
      <c r="C148" s="19" t="s">
        <v>942</v>
      </c>
      <c r="D148" s="19">
        <v>101705</v>
      </c>
      <c r="E148" s="356" t="s">
        <v>697</v>
      </c>
      <c r="F148" s="14">
        <v>210</v>
      </c>
      <c r="G148" s="74">
        <v>200</v>
      </c>
      <c r="H148" s="54">
        <v>10</v>
      </c>
      <c r="I148" s="14"/>
      <c r="J148" s="18">
        <f t="shared" si="4"/>
        <v>210</v>
      </c>
      <c r="K148" s="32"/>
      <c r="L148" s="33">
        <f t="shared" si="6"/>
        <v>0</v>
      </c>
      <c r="M148" s="37"/>
      <c r="N148" s="40"/>
    </row>
    <row r="149" spans="1:14" ht="15.75">
      <c r="A149" s="11">
        <f t="shared" si="7"/>
        <v>143</v>
      </c>
      <c r="B149" s="116" t="s">
        <v>698</v>
      </c>
      <c r="C149" s="19" t="s">
        <v>942</v>
      </c>
      <c r="D149" s="19">
        <v>105069</v>
      </c>
      <c r="E149" s="356" t="s">
        <v>699</v>
      </c>
      <c r="F149" s="14">
        <v>105</v>
      </c>
      <c r="G149" s="74">
        <v>100</v>
      </c>
      <c r="H149" s="54">
        <v>5</v>
      </c>
      <c r="I149" s="14"/>
      <c r="J149" s="18">
        <f t="shared" si="4"/>
        <v>105</v>
      </c>
      <c r="K149" s="32"/>
      <c r="L149" s="33">
        <f t="shared" si="6"/>
        <v>0</v>
      </c>
      <c r="M149" s="37"/>
      <c r="N149" s="40"/>
    </row>
    <row r="150" spans="1:14" ht="15.75">
      <c r="A150" s="11">
        <f t="shared" si="7"/>
        <v>144</v>
      </c>
      <c r="B150" s="280" t="s">
        <v>997</v>
      </c>
      <c r="C150" s="12" t="s">
        <v>942</v>
      </c>
      <c r="D150" s="19">
        <v>105342</v>
      </c>
      <c r="E150" s="315" t="s">
        <v>998</v>
      </c>
      <c r="F150" s="14">
        <v>171.13</v>
      </c>
      <c r="G150" s="74">
        <v>100</v>
      </c>
      <c r="H150" s="75">
        <v>3.39</v>
      </c>
      <c r="I150" s="249"/>
      <c r="J150" s="18">
        <f>SUM(G150+H150+I150)</f>
        <v>103.39</v>
      </c>
      <c r="K150" s="35"/>
      <c r="L150" s="36">
        <f>+(F150-((SUM(J150+K150))))</f>
        <v>67.739999999999995</v>
      </c>
      <c r="M150" s="215" t="s">
        <v>1076</v>
      </c>
      <c r="N150" s="40"/>
    </row>
    <row r="151" spans="1:14" ht="15.75">
      <c r="A151" s="11">
        <f t="shared" si="7"/>
        <v>145</v>
      </c>
      <c r="B151" s="116" t="s">
        <v>700</v>
      </c>
      <c r="C151" s="19" t="s">
        <v>942</v>
      </c>
      <c r="D151" s="19">
        <v>105104</v>
      </c>
      <c r="E151" s="356" t="s">
        <v>701</v>
      </c>
      <c r="F151" s="14">
        <v>210</v>
      </c>
      <c r="G151" s="74">
        <v>200</v>
      </c>
      <c r="H151" s="54">
        <v>10</v>
      </c>
      <c r="I151" s="14"/>
      <c r="J151" s="18">
        <f t="shared" si="4"/>
        <v>210</v>
      </c>
      <c r="K151" s="32"/>
      <c r="L151" s="33">
        <f t="shared" si="6"/>
        <v>0</v>
      </c>
      <c r="M151" s="37"/>
      <c r="N151" s="40"/>
    </row>
    <row r="152" spans="1:14" ht="15.75">
      <c r="A152" s="11">
        <f t="shared" si="7"/>
        <v>146</v>
      </c>
      <c r="B152" s="132" t="s">
        <v>702</v>
      </c>
      <c r="C152" s="19" t="s">
        <v>942</v>
      </c>
      <c r="D152" s="197">
        <v>105145</v>
      </c>
      <c r="E152" s="356" t="s">
        <v>703</v>
      </c>
      <c r="F152" s="14">
        <v>52.5</v>
      </c>
      <c r="G152" s="238">
        <v>50</v>
      </c>
      <c r="H152" s="131">
        <v>2.5</v>
      </c>
      <c r="I152" s="14"/>
      <c r="J152" s="18">
        <f t="shared" ref="J152:J213" si="8">SUM(G152+H152+I152)</f>
        <v>52.5</v>
      </c>
      <c r="K152" s="32"/>
      <c r="L152" s="33">
        <f t="shared" si="6"/>
        <v>0</v>
      </c>
      <c r="M152" s="37"/>
      <c r="N152" s="40"/>
    </row>
    <row r="153" spans="1:14" ht="15.75">
      <c r="A153" s="11">
        <f t="shared" si="7"/>
        <v>147</v>
      </c>
      <c r="B153" s="132" t="s">
        <v>704</v>
      </c>
      <c r="C153" s="19" t="s">
        <v>942</v>
      </c>
      <c r="D153" s="197">
        <v>105134</v>
      </c>
      <c r="E153" s="356" t="s">
        <v>705</v>
      </c>
      <c r="F153" s="14">
        <v>52.5</v>
      </c>
      <c r="G153" s="238">
        <v>50</v>
      </c>
      <c r="H153" s="131">
        <v>2.5</v>
      </c>
      <c r="I153" s="14"/>
      <c r="J153" s="18">
        <f t="shared" si="8"/>
        <v>52.5</v>
      </c>
      <c r="K153" s="32"/>
      <c r="L153" s="33">
        <f t="shared" si="6"/>
        <v>0</v>
      </c>
      <c r="M153" s="37"/>
      <c r="N153" s="40"/>
    </row>
    <row r="154" spans="1:14" ht="15.75">
      <c r="A154" s="11">
        <f t="shared" si="7"/>
        <v>148</v>
      </c>
      <c r="B154" s="69" t="s">
        <v>834</v>
      </c>
      <c r="C154" s="145" t="s">
        <v>942</v>
      </c>
      <c r="D154" s="19">
        <v>101082</v>
      </c>
      <c r="E154" s="360" t="s">
        <v>280</v>
      </c>
      <c r="F154" s="264">
        <v>187.25</v>
      </c>
      <c r="G154" s="53">
        <v>100</v>
      </c>
      <c r="H154" s="71">
        <v>5</v>
      </c>
      <c r="I154" s="251"/>
      <c r="J154" s="18">
        <f t="shared" si="8"/>
        <v>105</v>
      </c>
      <c r="K154" s="73"/>
      <c r="L154" s="33">
        <f t="shared" si="6"/>
        <v>82.25</v>
      </c>
      <c r="M154" s="37" t="s">
        <v>1076</v>
      </c>
      <c r="N154" s="40"/>
    </row>
    <row r="155" spans="1:14" ht="15.75">
      <c r="A155" s="11">
        <f t="shared" si="7"/>
        <v>149</v>
      </c>
      <c r="B155" s="19" t="s">
        <v>835</v>
      </c>
      <c r="C155" s="19" t="s">
        <v>942</v>
      </c>
      <c r="D155" s="19">
        <v>101033</v>
      </c>
      <c r="E155" s="356" t="s">
        <v>301</v>
      </c>
      <c r="F155" s="14">
        <v>114.32</v>
      </c>
      <c r="G155" s="53">
        <v>100</v>
      </c>
      <c r="H155" s="54">
        <v>5</v>
      </c>
      <c r="I155" s="248"/>
      <c r="J155" s="18">
        <f t="shared" si="8"/>
        <v>105</v>
      </c>
      <c r="K155" s="32"/>
      <c r="L155" s="33">
        <f t="shared" si="6"/>
        <v>9.3199999999999932</v>
      </c>
      <c r="M155" s="37"/>
      <c r="N155" s="40"/>
    </row>
    <row r="156" spans="1:14" ht="15.75">
      <c r="A156" s="11">
        <f t="shared" si="7"/>
        <v>150</v>
      </c>
      <c r="B156" s="116" t="s">
        <v>888</v>
      </c>
      <c r="C156" s="19" t="s">
        <v>942</v>
      </c>
      <c r="D156" s="19">
        <v>101857</v>
      </c>
      <c r="E156" s="356" t="s">
        <v>889</v>
      </c>
      <c r="F156" s="14">
        <v>52.5</v>
      </c>
      <c r="G156" s="74">
        <v>50</v>
      </c>
      <c r="H156" s="54">
        <v>2.5</v>
      </c>
      <c r="I156" s="248"/>
      <c r="J156" s="18">
        <f t="shared" si="8"/>
        <v>52.5</v>
      </c>
      <c r="K156" s="32"/>
      <c r="L156" s="33">
        <f t="shared" si="6"/>
        <v>0</v>
      </c>
      <c r="M156" s="37"/>
      <c r="N156" s="40"/>
    </row>
    <row r="157" spans="1:14" ht="15.75">
      <c r="A157" s="11">
        <f t="shared" si="7"/>
        <v>151</v>
      </c>
      <c r="B157" s="116" t="s">
        <v>890</v>
      </c>
      <c r="C157" s="19" t="s">
        <v>942</v>
      </c>
      <c r="D157" s="19">
        <v>101861</v>
      </c>
      <c r="E157" s="356" t="s">
        <v>891</v>
      </c>
      <c r="F157" s="14">
        <v>497.93</v>
      </c>
      <c r="G157" s="74">
        <v>100</v>
      </c>
      <c r="H157" s="54">
        <v>5</v>
      </c>
      <c r="I157" s="14">
        <v>392.93</v>
      </c>
      <c r="J157" s="18">
        <f t="shared" si="8"/>
        <v>497.93</v>
      </c>
      <c r="K157" s="32"/>
      <c r="L157" s="33">
        <f t="shared" si="6"/>
        <v>0</v>
      </c>
      <c r="M157" s="37"/>
      <c r="N157" s="40"/>
    </row>
    <row r="158" spans="1:14" ht="15.75">
      <c r="A158" s="11">
        <f t="shared" si="7"/>
        <v>152</v>
      </c>
      <c r="B158" s="19" t="s">
        <v>41</v>
      </c>
      <c r="C158" s="19" t="s">
        <v>942</v>
      </c>
      <c r="D158" s="19">
        <v>101741</v>
      </c>
      <c r="E158" s="356" t="s">
        <v>695</v>
      </c>
      <c r="F158" s="14">
        <v>105</v>
      </c>
      <c r="G158" s="53">
        <v>100</v>
      </c>
      <c r="H158" s="54">
        <v>5</v>
      </c>
      <c r="I158" s="250"/>
      <c r="J158" s="18">
        <f>SUM(G158+H158+I158)</f>
        <v>105</v>
      </c>
      <c r="K158" s="32"/>
      <c r="L158" s="33">
        <f>+(F158-((SUM(J158+K158))))</f>
        <v>0</v>
      </c>
      <c r="M158" s="37"/>
      <c r="N158" s="40"/>
    </row>
    <row r="159" spans="1:14" ht="15.75">
      <c r="A159" s="11">
        <f t="shared" si="7"/>
        <v>153</v>
      </c>
      <c r="B159" s="19" t="s">
        <v>852</v>
      </c>
      <c r="C159" s="19" t="s">
        <v>942</v>
      </c>
      <c r="D159" s="19">
        <v>101724</v>
      </c>
      <c r="E159" s="355" t="s">
        <v>853</v>
      </c>
      <c r="F159" s="14">
        <v>138.6</v>
      </c>
      <c r="G159" s="20">
        <v>100</v>
      </c>
      <c r="H159" s="21">
        <v>5</v>
      </c>
      <c r="I159" s="252"/>
      <c r="J159" s="18">
        <f t="shared" si="8"/>
        <v>105</v>
      </c>
      <c r="K159" s="32"/>
      <c r="L159" s="33">
        <f t="shared" si="6"/>
        <v>33.599999999999994</v>
      </c>
      <c r="M159" s="215"/>
      <c r="N159" s="40"/>
    </row>
    <row r="160" spans="1:14" ht="15.75">
      <c r="A160" s="11">
        <f t="shared" si="7"/>
        <v>154</v>
      </c>
      <c r="B160" s="30" t="s">
        <v>11</v>
      </c>
      <c r="C160" s="19" t="s">
        <v>942</v>
      </c>
      <c r="D160" s="19">
        <v>101084</v>
      </c>
      <c r="E160" s="315" t="s">
        <v>858</v>
      </c>
      <c r="F160" s="249">
        <v>52.5</v>
      </c>
      <c r="G160" s="26">
        <v>50</v>
      </c>
      <c r="H160" s="27">
        <v>2.5</v>
      </c>
      <c r="I160" s="80"/>
      <c r="J160" s="18">
        <f t="shared" si="8"/>
        <v>52.5</v>
      </c>
      <c r="K160" s="35"/>
      <c r="L160" s="36">
        <f t="shared" si="6"/>
        <v>0</v>
      </c>
      <c r="M160" s="215"/>
      <c r="N160" s="40"/>
    </row>
    <row r="161" spans="1:14" ht="15.75">
      <c r="A161" s="11">
        <f t="shared" si="7"/>
        <v>155</v>
      </c>
      <c r="B161" s="19" t="s">
        <v>54</v>
      </c>
      <c r="C161" s="19" t="s">
        <v>942</v>
      </c>
      <c r="D161" s="19">
        <v>101740</v>
      </c>
      <c r="E161" s="356" t="s">
        <v>56</v>
      </c>
      <c r="F161" s="14">
        <v>157.37</v>
      </c>
      <c r="G161" s="53">
        <v>100</v>
      </c>
      <c r="H161" s="54">
        <v>5</v>
      </c>
      <c r="I161" s="14"/>
      <c r="J161" s="18">
        <f t="shared" si="8"/>
        <v>105</v>
      </c>
      <c r="K161" s="32"/>
      <c r="L161" s="33">
        <f t="shared" si="6"/>
        <v>52.370000000000005</v>
      </c>
      <c r="M161" s="215" t="s">
        <v>947</v>
      </c>
      <c r="N161" s="40"/>
    </row>
    <row r="162" spans="1:14" ht="15.75">
      <c r="A162" s="11">
        <f t="shared" si="7"/>
        <v>156</v>
      </c>
      <c r="B162" s="19" t="s">
        <v>23</v>
      </c>
      <c r="C162" s="19" t="s">
        <v>942</v>
      </c>
      <c r="D162" s="19">
        <v>101021</v>
      </c>
      <c r="E162" s="361" t="s">
        <v>861</v>
      </c>
      <c r="F162" s="14">
        <v>52.5</v>
      </c>
      <c r="G162" s="20">
        <v>50</v>
      </c>
      <c r="H162" s="21">
        <v>2.5</v>
      </c>
      <c r="I162" s="14"/>
      <c r="J162" s="18">
        <f t="shared" si="8"/>
        <v>52.5</v>
      </c>
      <c r="K162" s="32"/>
      <c r="L162" s="33">
        <f t="shared" si="6"/>
        <v>0</v>
      </c>
      <c r="M162" s="215"/>
      <c r="N162" s="40"/>
    </row>
    <row r="163" spans="1:14" ht="15.75">
      <c r="A163" s="11">
        <f t="shared" si="7"/>
        <v>157</v>
      </c>
      <c r="B163" s="19" t="s">
        <v>26</v>
      </c>
      <c r="C163" s="19" t="s">
        <v>942</v>
      </c>
      <c r="D163" s="19">
        <v>101024</v>
      </c>
      <c r="E163" s="361" t="s">
        <v>862</v>
      </c>
      <c r="F163" s="14">
        <v>52.5</v>
      </c>
      <c r="G163" s="20">
        <v>50</v>
      </c>
      <c r="H163" s="21">
        <v>2.5</v>
      </c>
      <c r="I163" s="14"/>
      <c r="J163" s="18">
        <f t="shared" si="8"/>
        <v>52.5</v>
      </c>
      <c r="K163" s="32"/>
      <c r="L163" s="33">
        <f t="shared" si="6"/>
        <v>0</v>
      </c>
      <c r="M163" s="215"/>
      <c r="N163" s="6"/>
    </row>
    <row r="164" spans="1:14" ht="15.75">
      <c r="A164" s="11">
        <f t="shared" si="7"/>
        <v>158</v>
      </c>
      <c r="B164" s="19" t="s">
        <v>69</v>
      </c>
      <c r="C164" s="19" t="s">
        <v>942</v>
      </c>
      <c r="D164" s="19">
        <v>101749</v>
      </c>
      <c r="E164" s="361" t="s">
        <v>864</v>
      </c>
      <c r="F164" s="14">
        <v>109.8</v>
      </c>
      <c r="G164" s="53">
        <v>100</v>
      </c>
      <c r="H164" s="54">
        <v>5</v>
      </c>
      <c r="I164" s="14">
        <v>4.8</v>
      </c>
      <c r="J164" s="18">
        <f t="shared" si="8"/>
        <v>109.8</v>
      </c>
      <c r="K164" s="32"/>
      <c r="L164" s="33">
        <f t="shared" si="6"/>
        <v>0</v>
      </c>
      <c r="M164" s="215"/>
      <c r="N164" s="6"/>
    </row>
    <row r="165" spans="1:14" ht="15.75">
      <c r="A165" s="11">
        <f t="shared" si="7"/>
        <v>159</v>
      </c>
      <c r="B165" s="19" t="s">
        <v>71</v>
      </c>
      <c r="C165" s="19" t="s">
        <v>942</v>
      </c>
      <c r="D165" s="19">
        <v>101750</v>
      </c>
      <c r="E165" s="361" t="s">
        <v>865</v>
      </c>
      <c r="F165" s="14">
        <v>114.52</v>
      </c>
      <c r="G165" s="53">
        <v>100</v>
      </c>
      <c r="H165" s="54">
        <v>5</v>
      </c>
      <c r="I165" s="14">
        <v>9.52</v>
      </c>
      <c r="J165" s="18">
        <f t="shared" si="8"/>
        <v>114.52</v>
      </c>
      <c r="K165" s="32"/>
      <c r="L165" s="33">
        <f t="shared" si="6"/>
        <v>0</v>
      </c>
      <c r="M165" s="215"/>
      <c r="N165" s="6"/>
    </row>
    <row r="166" spans="1:14" ht="15.75">
      <c r="A166" s="11">
        <f t="shared" si="7"/>
        <v>160</v>
      </c>
      <c r="B166" s="19" t="s">
        <v>878</v>
      </c>
      <c r="C166" s="19" t="s">
        <v>942</v>
      </c>
      <c r="D166" s="19">
        <v>101807</v>
      </c>
      <c r="E166" s="356" t="s">
        <v>879</v>
      </c>
      <c r="F166" s="14">
        <v>118.02</v>
      </c>
      <c r="G166" s="74">
        <v>100</v>
      </c>
      <c r="H166" s="54">
        <v>5</v>
      </c>
      <c r="I166" s="14">
        <v>13.02</v>
      </c>
      <c r="J166" s="18">
        <f t="shared" si="8"/>
        <v>118.02</v>
      </c>
      <c r="K166" s="32"/>
      <c r="L166" s="33">
        <f t="shared" si="6"/>
        <v>0</v>
      </c>
      <c r="M166" s="215"/>
      <c r="N166" s="6"/>
    </row>
    <row r="167" spans="1:14" ht="15.75">
      <c r="A167" s="11">
        <f t="shared" si="7"/>
        <v>161</v>
      </c>
      <c r="B167" s="19" t="s">
        <v>880</v>
      </c>
      <c r="C167" s="19" t="s">
        <v>942</v>
      </c>
      <c r="D167" s="19">
        <v>101832</v>
      </c>
      <c r="E167" s="356" t="s">
        <v>881</v>
      </c>
      <c r="F167" s="14">
        <v>186.99</v>
      </c>
      <c r="G167" s="74">
        <v>100</v>
      </c>
      <c r="H167" s="54">
        <v>5</v>
      </c>
      <c r="I167" s="14"/>
      <c r="J167" s="18">
        <f t="shared" si="8"/>
        <v>105</v>
      </c>
      <c r="K167" s="32"/>
      <c r="L167" s="33">
        <f t="shared" si="6"/>
        <v>81.990000000000009</v>
      </c>
      <c r="M167" s="37"/>
      <c r="N167" s="6"/>
    </row>
    <row r="168" spans="1:14" ht="15.75">
      <c r="A168" s="11">
        <f t="shared" si="7"/>
        <v>162</v>
      </c>
      <c r="B168" s="19" t="s">
        <v>423</v>
      </c>
      <c r="C168" s="19" t="s">
        <v>942</v>
      </c>
      <c r="D168" s="19">
        <v>101626</v>
      </c>
      <c r="E168" s="355" t="s">
        <v>710</v>
      </c>
      <c r="F168" s="14">
        <v>52.5</v>
      </c>
      <c r="G168" s="74">
        <v>50</v>
      </c>
      <c r="H168" s="75">
        <v>2.5</v>
      </c>
      <c r="I168" s="14"/>
      <c r="J168" s="18">
        <f t="shared" si="8"/>
        <v>52.5</v>
      </c>
      <c r="K168" s="32"/>
      <c r="L168" s="33">
        <f t="shared" si="6"/>
        <v>0</v>
      </c>
      <c r="M168" s="37"/>
      <c r="N168" s="6"/>
    </row>
    <row r="169" spans="1:14" ht="15.75">
      <c r="A169" s="11">
        <f t="shared" si="7"/>
        <v>163</v>
      </c>
      <c r="B169" s="19" t="s">
        <v>404</v>
      </c>
      <c r="C169" s="19" t="s">
        <v>942</v>
      </c>
      <c r="D169" s="19">
        <v>111111</v>
      </c>
      <c r="E169" s="356" t="s">
        <v>966</v>
      </c>
      <c r="F169" s="14">
        <v>52.5</v>
      </c>
      <c r="G169" s="74">
        <v>50</v>
      </c>
      <c r="H169" s="75">
        <v>2.5</v>
      </c>
      <c r="I169" s="14"/>
      <c r="J169" s="18">
        <f t="shared" si="8"/>
        <v>52.5</v>
      </c>
      <c r="K169" s="32"/>
      <c r="L169" s="33">
        <f t="shared" si="6"/>
        <v>0</v>
      </c>
      <c r="M169" s="215"/>
      <c r="N169" s="6"/>
    </row>
    <row r="170" spans="1:14" ht="15.75">
      <c r="A170" s="11">
        <f t="shared" si="7"/>
        <v>164</v>
      </c>
      <c r="B170" s="19" t="s">
        <v>712</v>
      </c>
      <c r="C170" s="19" t="s">
        <v>942</v>
      </c>
      <c r="D170" s="19">
        <v>101792</v>
      </c>
      <c r="E170" s="355" t="s">
        <v>713</v>
      </c>
      <c r="F170" s="14">
        <v>52.5</v>
      </c>
      <c r="G170" s="74">
        <v>50</v>
      </c>
      <c r="H170" s="75">
        <v>2.5</v>
      </c>
      <c r="I170" s="14"/>
      <c r="J170" s="18">
        <f t="shared" si="8"/>
        <v>52.5</v>
      </c>
      <c r="K170" s="32"/>
      <c r="L170" s="33">
        <f t="shared" si="6"/>
        <v>0</v>
      </c>
      <c r="M170" s="215"/>
      <c r="N170" s="6"/>
    </row>
    <row r="171" spans="1:14" ht="15.75">
      <c r="A171" s="11">
        <f t="shared" si="7"/>
        <v>165</v>
      </c>
      <c r="B171" s="19" t="s">
        <v>714</v>
      </c>
      <c r="C171" s="19" t="s">
        <v>942</v>
      </c>
      <c r="D171" s="19">
        <v>101711</v>
      </c>
      <c r="E171" s="355" t="s">
        <v>715</v>
      </c>
      <c r="F171" s="14">
        <v>52.5</v>
      </c>
      <c r="G171" s="74">
        <v>50</v>
      </c>
      <c r="H171" s="75">
        <v>2.5</v>
      </c>
      <c r="I171" s="14"/>
      <c r="J171" s="18">
        <f t="shared" si="8"/>
        <v>52.5</v>
      </c>
      <c r="K171" s="32"/>
      <c r="L171" s="33">
        <f t="shared" si="6"/>
        <v>0</v>
      </c>
      <c r="M171" s="215"/>
      <c r="N171" s="6"/>
    </row>
    <row r="172" spans="1:14" ht="15.75">
      <c r="A172" s="11">
        <f t="shared" si="7"/>
        <v>166</v>
      </c>
      <c r="B172" s="19" t="s">
        <v>716</v>
      </c>
      <c r="C172" s="19" t="s">
        <v>942</v>
      </c>
      <c r="D172" s="19">
        <v>101035</v>
      </c>
      <c r="E172" s="356" t="s">
        <v>717</v>
      </c>
      <c r="F172" s="14">
        <v>52.5</v>
      </c>
      <c r="G172" s="20">
        <v>50</v>
      </c>
      <c r="H172" s="75">
        <v>2.5</v>
      </c>
      <c r="I172" s="14"/>
      <c r="J172" s="18">
        <f t="shared" si="8"/>
        <v>52.5</v>
      </c>
      <c r="K172" s="32"/>
      <c r="L172" s="33">
        <f t="shared" si="6"/>
        <v>0</v>
      </c>
      <c r="M172" s="215"/>
      <c r="N172" s="6"/>
    </row>
    <row r="173" spans="1:14" ht="15.75">
      <c r="A173" s="11">
        <f t="shared" si="7"/>
        <v>167</v>
      </c>
      <c r="B173" s="19" t="s">
        <v>718</v>
      </c>
      <c r="C173" s="19" t="s">
        <v>942</v>
      </c>
      <c r="D173" s="19">
        <v>101071</v>
      </c>
      <c r="E173" s="356" t="s">
        <v>163</v>
      </c>
      <c r="F173" s="14">
        <v>52.5</v>
      </c>
      <c r="G173" s="20">
        <v>50</v>
      </c>
      <c r="H173" s="21">
        <v>2.5</v>
      </c>
      <c r="I173" s="14"/>
      <c r="J173" s="18">
        <f t="shared" si="8"/>
        <v>52.5</v>
      </c>
      <c r="K173" s="32"/>
      <c r="L173" s="33">
        <f t="shared" si="6"/>
        <v>0</v>
      </c>
      <c r="M173" s="215"/>
      <c r="N173" s="6"/>
    </row>
    <row r="174" spans="1:14" ht="15.75">
      <c r="A174" s="11">
        <f t="shared" si="7"/>
        <v>168</v>
      </c>
      <c r="B174" s="19" t="s">
        <v>719</v>
      </c>
      <c r="C174" s="19" t="s">
        <v>942</v>
      </c>
      <c r="D174" s="19">
        <v>101090</v>
      </c>
      <c r="E174" s="356" t="s">
        <v>177</v>
      </c>
      <c r="F174" s="14">
        <v>52.5</v>
      </c>
      <c r="G174" s="20">
        <v>50</v>
      </c>
      <c r="H174" s="21">
        <v>2.5</v>
      </c>
      <c r="I174" s="14"/>
      <c r="J174" s="18">
        <f t="shared" si="8"/>
        <v>52.5</v>
      </c>
      <c r="K174" s="32"/>
      <c r="L174" s="33">
        <f t="shared" si="6"/>
        <v>0</v>
      </c>
      <c r="M174" s="215"/>
      <c r="N174" s="40"/>
    </row>
    <row r="175" spans="1:14" ht="15.75">
      <c r="A175" s="11">
        <f t="shared" si="7"/>
        <v>169</v>
      </c>
      <c r="B175" s="30" t="s">
        <v>720</v>
      </c>
      <c r="C175" s="19" t="s">
        <v>942</v>
      </c>
      <c r="D175" s="19">
        <v>101171</v>
      </c>
      <c r="E175" s="356" t="s">
        <v>161</v>
      </c>
      <c r="F175" s="14">
        <v>52.5</v>
      </c>
      <c r="G175" s="20">
        <v>50</v>
      </c>
      <c r="H175" s="21">
        <v>2.5</v>
      </c>
      <c r="I175" s="14"/>
      <c r="J175" s="18">
        <f t="shared" si="8"/>
        <v>52.5</v>
      </c>
      <c r="K175" s="32"/>
      <c r="L175" s="33">
        <f t="shared" si="6"/>
        <v>0</v>
      </c>
      <c r="M175" s="215"/>
      <c r="N175" s="40"/>
    </row>
    <row r="176" spans="1:14" ht="15.75">
      <c r="A176" s="11">
        <f t="shared" si="7"/>
        <v>170</v>
      </c>
      <c r="B176" s="19" t="s">
        <v>721</v>
      </c>
      <c r="C176" s="19" t="s">
        <v>942</v>
      </c>
      <c r="D176" s="19">
        <v>101273</v>
      </c>
      <c r="E176" s="356" t="s">
        <v>722</v>
      </c>
      <c r="F176" s="14">
        <v>52.5</v>
      </c>
      <c r="G176" s="74">
        <v>50</v>
      </c>
      <c r="H176" s="21">
        <v>2.5</v>
      </c>
      <c r="I176" s="14"/>
      <c r="J176" s="18">
        <f t="shared" si="8"/>
        <v>52.5</v>
      </c>
      <c r="K176" s="32"/>
      <c r="L176" s="33">
        <f t="shared" si="6"/>
        <v>0</v>
      </c>
      <c r="M176" s="215"/>
      <c r="N176" s="58"/>
    </row>
    <row r="177" spans="1:14" ht="15.75">
      <c r="A177" s="11">
        <f t="shared" si="7"/>
        <v>171</v>
      </c>
      <c r="B177" s="19" t="s">
        <v>723</v>
      </c>
      <c r="C177" s="19" t="s">
        <v>942</v>
      </c>
      <c r="D177" s="19">
        <v>101698</v>
      </c>
      <c r="E177" s="356" t="s">
        <v>724</v>
      </c>
      <c r="F177" s="14">
        <v>52.5</v>
      </c>
      <c r="G177" s="20">
        <v>50</v>
      </c>
      <c r="H177" s="21">
        <v>2.5</v>
      </c>
      <c r="I177" s="14"/>
      <c r="J177" s="18">
        <f t="shared" si="8"/>
        <v>52.5</v>
      </c>
      <c r="K177" s="32"/>
      <c r="L177" s="33">
        <f t="shared" si="6"/>
        <v>0</v>
      </c>
      <c r="M177" s="215"/>
      <c r="N177" s="59" t="s">
        <v>525</v>
      </c>
    </row>
    <row r="178" spans="1:14" ht="15.75">
      <c r="A178" s="11">
        <f t="shared" si="7"/>
        <v>172</v>
      </c>
      <c r="B178" s="19" t="s">
        <v>725</v>
      </c>
      <c r="C178" s="19" t="s">
        <v>942</v>
      </c>
      <c r="D178" s="19">
        <v>101315</v>
      </c>
      <c r="E178" s="355" t="s">
        <v>155</v>
      </c>
      <c r="F178" s="14">
        <v>52.5</v>
      </c>
      <c r="G178" s="74">
        <v>50</v>
      </c>
      <c r="H178" s="21">
        <v>2.5</v>
      </c>
      <c r="I178" s="14"/>
      <c r="J178" s="18">
        <f t="shared" si="8"/>
        <v>52.5</v>
      </c>
      <c r="K178" s="32"/>
      <c r="L178" s="33">
        <f t="shared" si="6"/>
        <v>0</v>
      </c>
      <c r="M178" s="215"/>
      <c r="N178" s="60" t="s">
        <v>79</v>
      </c>
    </row>
    <row r="179" spans="1:14" ht="15.75">
      <c r="A179" s="11">
        <f t="shared" si="7"/>
        <v>173</v>
      </c>
      <c r="B179" s="19" t="s">
        <v>727</v>
      </c>
      <c r="C179" s="211" t="s">
        <v>942</v>
      </c>
      <c r="D179" s="211">
        <v>101601</v>
      </c>
      <c r="E179" s="356" t="s">
        <v>967</v>
      </c>
      <c r="F179" s="14">
        <v>52.5</v>
      </c>
      <c r="G179" s="74">
        <v>50</v>
      </c>
      <c r="H179" s="21">
        <v>2.5</v>
      </c>
      <c r="I179" s="14"/>
      <c r="J179" s="18">
        <f t="shared" si="8"/>
        <v>52.5</v>
      </c>
      <c r="K179" s="32"/>
      <c r="L179" s="33">
        <f t="shared" si="6"/>
        <v>0</v>
      </c>
      <c r="M179" s="215"/>
      <c r="N179" s="40"/>
    </row>
    <row r="180" spans="1:14" ht="15.75">
      <c r="A180" s="11">
        <f t="shared" si="7"/>
        <v>174</v>
      </c>
      <c r="B180" s="19" t="s">
        <v>729</v>
      </c>
      <c r="C180" s="19" t="s">
        <v>942</v>
      </c>
      <c r="D180" s="19">
        <v>101335</v>
      </c>
      <c r="E180" s="356" t="s">
        <v>173</v>
      </c>
      <c r="F180" s="14">
        <v>52.5</v>
      </c>
      <c r="G180" s="20">
        <v>50</v>
      </c>
      <c r="H180" s="21">
        <v>2.5</v>
      </c>
      <c r="I180" s="14"/>
      <c r="J180" s="18">
        <f t="shared" si="8"/>
        <v>52.5</v>
      </c>
      <c r="K180" s="32"/>
      <c r="L180" s="33">
        <f t="shared" si="6"/>
        <v>0</v>
      </c>
      <c r="M180" s="215"/>
      <c r="N180" s="40"/>
    </row>
    <row r="181" spans="1:14" ht="15.75">
      <c r="A181" s="11">
        <f t="shared" si="7"/>
        <v>175</v>
      </c>
      <c r="B181" s="19" t="s">
        <v>730</v>
      </c>
      <c r="C181" s="19" t="s">
        <v>942</v>
      </c>
      <c r="D181" s="19">
        <v>101413</v>
      </c>
      <c r="E181" s="356" t="s">
        <v>159</v>
      </c>
      <c r="F181" s="14">
        <v>52.5</v>
      </c>
      <c r="G181" s="20">
        <v>50</v>
      </c>
      <c r="H181" s="21">
        <v>2.5</v>
      </c>
      <c r="I181" s="14"/>
      <c r="J181" s="18">
        <f t="shared" si="8"/>
        <v>52.5</v>
      </c>
      <c r="K181" s="32"/>
      <c r="L181" s="33">
        <f t="shared" si="6"/>
        <v>0</v>
      </c>
      <c r="M181" s="215"/>
      <c r="N181" s="40"/>
    </row>
    <row r="182" spans="1:14" ht="15.75">
      <c r="A182" s="11">
        <f t="shared" si="7"/>
        <v>176</v>
      </c>
      <c r="B182" s="19" t="s">
        <v>918</v>
      </c>
      <c r="C182" s="19" t="s">
        <v>942</v>
      </c>
      <c r="D182" s="19">
        <v>101882</v>
      </c>
      <c r="E182" s="356" t="s">
        <v>968</v>
      </c>
      <c r="F182" s="14">
        <v>52.5</v>
      </c>
      <c r="G182" s="74">
        <v>50</v>
      </c>
      <c r="H182" s="54">
        <v>2.5</v>
      </c>
      <c r="I182" s="14"/>
      <c r="J182" s="18">
        <f t="shared" si="8"/>
        <v>52.5</v>
      </c>
      <c r="K182" s="32"/>
      <c r="L182" s="33">
        <f>+(F182-((SUM(J182+K182))))</f>
        <v>0</v>
      </c>
      <c r="M182" s="215"/>
      <c r="N182" s="40"/>
    </row>
    <row r="183" spans="1:14" ht="15.75">
      <c r="A183" s="11">
        <f t="shared" si="7"/>
        <v>177</v>
      </c>
      <c r="B183" s="19" t="s">
        <v>731</v>
      </c>
      <c r="C183" s="211" t="s">
        <v>942</v>
      </c>
      <c r="D183" s="211">
        <v>101903</v>
      </c>
      <c r="E183" s="356" t="s">
        <v>732</v>
      </c>
      <c r="F183" s="14">
        <v>52.5</v>
      </c>
      <c r="G183" s="74">
        <v>50</v>
      </c>
      <c r="H183" s="21">
        <v>2.5</v>
      </c>
      <c r="I183" s="14"/>
      <c r="J183" s="18">
        <f t="shared" si="8"/>
        <v>52.5</v>
      </c>
      <c r="K183" s="32"/>
      <c r="L183" s="33">
        <f t="shared" si="6"/>
        <v>0</v>
      </c>
      <c r="M183" s="215"/>
      <c r="N183" s="195"/>
    </row>
    <row r="184" spans="1:14" ht="15.75">
      <c r="A184" s="11">
        <f t="shared" si="7"/>
        <v>178</v>
      </c>
      <c r="B184" s="19" t="s">
        <v>920</v>
      </c>
      <c r="C184" s="19" t="s">
        <v>942</v>
      </c>
      <c r="D184" s="19">
        <v>101881</v>
      </c>
      <c r="E184" s="356" t="s">
        <v>969</v>
      </c>
      <c r="F184" s="14">
        <v>52.5</v>
      </c>
      <c r="G184" s="74">
        <v>50</v>
      </c>
      <c r="H184" s="54">
        <v>2.5</v>
      </c>
      <c r="I184" s="14"/>
      <c r="J184" s="18">
        <f t="shared" si="8"/>
        <v>52.5</v>
      </c>
      <c r="K184" s="32"/>
      <c r="L184" s="33">
        <f>+(F184-((SUM(J184+K184))))</f>
        <v>0</v>
      </c>
      <c r="M184" s="37"/>
      <c r="N184" s="194"/>
    </row>
    <row r="185" spans="1:14" ht="15.75">
      <c r="A185" s="11">
        <f t="shared" si="7"/>
        <v>179</v>
      </c>
      <c r="B185" s="19" t="s">
        <v>733</v>
      </c>
      <c r="C185" s="19" t="s">
        <v>942</v>
      </c>
      <c r="D185" s="19">
        <v>101505</v>
      </c>
      <c r="E185" s="356" t="s">
        <v>734</v>
      </c>
      <c r="F185" s="14">
        <v>52.5</v>
      </c>
      <c r="G185" s="20">
        <v>50</v>
      </c>
      <c r="H185" s="21">
        <v>2.5</v>
      </c>
      <c r="I185" s="14"/>
      <c r="J185" s="18">
        <f t="shared" si="8"/>
        <v>52.5</v>
      </c>
      <c r="K185" s="32"/>
      <c r="L185" s="33">
        <f t="shared" si="6"/>
        <v>0</v>
      </c>
      <c r="M185" s="215"/>
      <c r="N185" s="6" t="s">
        <v>539</v>
      </c>
    </row>
    <row r="186" spans="1:14" ht="15.75">
      <c r="A186" s="11">
        <f t="shared" si="7"/>
        <v>180</v>
      </c>
      <c r="B186" s="19" t="s">
        <v>735</v>
      </c>
      <c r="C186" s="19" t="s">
        <v>942</v>
      </c>
      <c r="D186" s="19">
        <v>101682</v>
      </c>
      <c r="E186" s="355" t="s">
        <v>736</v>
      </c>
      <c r="F186" s="14">
        <v>52.5</v>
      </c>
      <c r="G186" s="74">
        <v>50</v>
      </c>
      <c r="H186" s="21">
        <v>2.5</v>
      </c>
      <c r="I186" s="14"/>
      <c r="J186" s="18">
        <f t="shared" si="8"/>
        <v>52.5</v>
      </c>
      <c r="K186" s="32"/>
      <c r="L186" s="33">
        <f t="shared" si="6"/>
        <v>0</v>
      </c>
      <c r="M186" s="215"/>
      <c r="N186" s="6" t="s">
        <v>542</v>
      </c>
    </row>
    <row r="187" spans="1:14" ht="15.75">
      <c r="A187" s="11">
        <f t="shared" si="7"/>
        <v>181</v>
      </c>
      <c r="B187" s="30" t="s">
        <v>401</v>
      </c>
      <c r="C187" s="19" t="s">
        <v>942</v>
      </c>
      <c r="D187" s="19">
        <v>101907</v>
      </c>
      <c r="E187" s="315" t="s">
        <v>970</v>
      </c>
      <c r="F187" s="14">
        <v>52.5</v>
      </c>
      <c r="G187" s="74">
        <v>50</v>
      </c>
      <c r="H187" s="75">
        <v>2.5</v>
      </c>
      <c r="I187" s="14"/>
      <c r="J187" s="18">
        <f t="shared" si="8"/>
        <v>52.5</v>
      </c>
      <c r="K187" s="35"/>
      <c r="L187" s="33">
        <f t="shared" si="6"/>
        <v>0</v>
      </c>
      <c r="M187" s="215"/>
      <c r="N187" s="40"/>
    </row>
    <row r="188" spans="1:14" ht="15.75">
      <c r="A188" s="11">
        <f t="shared" si="7"/>
        <v>182</v>
      </c>
      <c r="B188" s="19" t="s">
        <v>740</v>
      </c>
      <c r="C188" s="19" t="s">
        <v>942</v>
      </c>
      <c r="D188" s="19">
        <v>101523</v>
      </c>
      <c r="E188" s="362" t="s">
        <v>741</v>
      </c>
      <c r="F188" s="14">
        <v>52.5</v>
      </c>
      <c r="G188" s="74">
        <v>50</v>
      </c>
      <c r="H188" s="75">
        <v>2.5</v>
      </c>
      <c r="I188" s="14"/>
      <c r="J188" s="18">
        <f t="shared" si="8"/>
        <v>52.5</v>
      </c>
      <c r="K188" s="32"/>
      <c r="L188" s="33">
        <f t="shared" si="6"/>
        <v>0</v>
      </c>
      <c r="M188" s="215"/>
      <c r="N188" s="40"/>
    </row>
    <row r="189" spans="1:14" ht="15.75">
      <c r="A189" s="11">
        <f t="shared" si="7"/>
        <v>183</v>
      </c>
      <c r="B189" s="19" t="s">
        <v>742</v>
      </c>
      <c r="C189" s="19" t="s">
        <v>942</v>
      </c>
      <c r="D189" s="19">
        <v>101818</v>
      </c>
      <c r="E189" s="356" t="s">
        <v>743</v>
      </c>
      <c r="F189" s="14">
        <v>93.15</v>
      </c>
      <c r="G189" s="74">
        <v>88.71</v>
      </c>
      <c r="H189" s="54">
        <v>4.4400000000000004</v>
      </c>
      <c r="I189" s="14"/>
      <c r="J189" s="18">
        <f t="shared" si="8"/>
        <v>93.149999999999991</v>
      </c>
      <c r="K189" s="32"/>
      <c r="L189" s="33">
        <f t="shared" si="6"/>
        <v>1.4210854715202004E-14</v>
      </c>
      <c r="M189" s="215"/>
      <c r="N189" s="40"/>
    </row>
    <row r="190" spans="1:14" ht="15.75">
      <c r="A190" s="11">
        <f t="shared" si="7"/>
        <v>184</v>
      </c>
      <c r="B190" s="19" t="s">
        <v>17</v>
      </c>
      <c r="C190" s="19" t="s">
        <v>942</v>
      </c>
      <c r="D190" s="19">
        <v>101713</v>
      </c>
      <c r="E190" s="361" t="s">
        <v>860</v>
      </c>
      <c r="F190" s="14">
        <v>52.5</v>
      </c>
      <c r="G190" s="20">
        <v>50</v>
      </c>
      <c r="H190" s="21">
        <v>2.5</v>
      </c>
      <c r="I190" s="14"/>
      <c r="J190" s="18">
        <f>SUM(G190+H190+I190)</f>
        <v>52.5</v>
      </c>
      <c r="K190" s="32"/>
      <c r="L190" s="33">
        <f>+(F190-((SUM(J190+K190))))</f>
        <v>0</v>
      </c>
      <c r="M190" s="37"/>
      <c r="N190" s="6"/>
    </row>
    <row r="191" spans="1:14" ht="15.75">
      <c r="A191" s="11">
        <f t="shared" si="7"/>
        <v>185</v>
      </c>
      <c r="B191" s="19" t="s">
        <v>744</v>
      </c>
      <c r="C191" s="19" t="s">
        <v>942</v>
      </c>
      <c r="D191" s="19">
        <v>101819</v>
      </c>
      <c r="E191" s="356" t="s">
        <v>745</v>
      </c>
      <c r="F191" s="14">
        <v>105</v>
      </c>
      <c r="G191" s="74">
        <v>100</v>
      </c>
      <c r="H191" s="54">
        <v>5</v>
      </c>
      <c r="I191" s="14"/>
      <c r="J191" s="18">
        <f t="shared" si="8"/>
        <v>105</v>
      </c>
      <c r="K191" s="32"/>
      <c r="L191" s="33">
        <f t="shared" si="6"/>
        <v>0</v>
      </c>
      <c r="M191" s="215"/>
      <c r="N191" s="40"/>
    </row>
    <row r="192" spans="1:14" ht="15.75">
      <c r="A192" s="11">
        <f t="shared" si="7"/>
        <v>186</v>
      </c>
      <c r="B192" s="19" t="s">
        <v>746</v>
      </c>
      <c r="C192" s="19" t="s">
        <v>942</v>
      </c>
      <c r="D192" s="19">
        <v>105373</v>
      </c>
      <c r="E192" s="356" t="s">
        <v>1043</v>
      </c>
      <c r="F192" s="14">
        <v>105</v>
      </c>
      <c r="G192" s="74">
        <v>100</v>
      </c>
      <c r="H192" s="54">
        <v>5</v>
      </c>
      <c r="I192" s="14"/>
      <c r="J192" s="18">
        <f t="shared" si="8"/>
        <v>105</v>
      </c>
      <c r="K192" s="32"/>
      <c r="L192" s="33">
        <f t="shared" si="6"/>
        <v>0</v>
      </c>
      <c r="M192" s="215"/>
      <c r="N192" s="195"/>
    </row>
    <row r="193" spans="1:14" ht="15.75">
      <c r="A193" s="11">
        <f t="shared" si="7"/>
        <v>187</v>
      </c>
      <c r="B193" s="19" t="s">
        <v>748</v>
      </c>
      <c r="C193" s="19"/>
      <c r="D193" s="19"/>
      <c r="E193" s="355" t="s">
        <v>749</v>
      </c>
      <c r="F193" s="14">
        <v>52.5</v>
      </c>
      <c r="G193" s="74">
        <v>50</v>
      </c>
      <c r="H193" s="75">
        <v>2.5</v>
      </c>
      <c r="I193" s="14"/>
      <c r="J193" s="18">
        <f t="shared" si="8"/>
        <v>52.5</v>
      </c>
      <c r="K193" s="179"/>
      <c r="L193" s="33">
        <f t="shared" si="6"/>
        <v>0</v>
      </c>
      <c r="M193" s="217"/>
      <c r="N193" s="194"/>
    </row>
    <row r="194" spans="1:14" ht="15.75">
      <c r="A194" s="11">
        <f t="shared" si="7"/>
        <v>188</v>
      </c>
      <c r="B194" s="19" t="s">
        <v>750</v>
      </c>
      <c r="C194" s="19"/>
      <c r="D194" s="19"/>
      <c r="E194" s="355" t="s">
        <v>751</v>
      </c>
      <c r="F194" s="14">
        <v>341.25</v>
      </c>
      <c r="G194" s="74">
        <v>325</v>
      </c>
      <c r="H194" s="75">
        <v>16.25</v>
      </c>
      <c r="I194" s="14"/>
      <c r="J194" s="18">
        <f t="shared" si="8"/>
        <v>341.25</v>
      </c>
      <c r="K194" s="32"/>
      <c r="L194" s="33">
        <f t="shared" si="6"/>
        <v>0</v>
      </c>
      <c r="M194" s="215"/>
      <c r="N194" s="6" t="s">
        <v>557</v>
      </c>
    </row>
    <row r="195" spans="1:14" ht="15.75">
      <c r="A195" s="11">
        <f t="shared" si="7"/>
        <v>189</v>
      </c>
      <c r="B195" s="19" t="s">
        <v>3</v>
      </c>
      <c r="C195" s="19"/>
      <c r="D195" s="19"/>
      <c r="E195" s="355" t="s">
        <v>752</v>
      </c>
      <c r="F195" s="14">
        <v>446.25</v>
      </c>
      <c r="G195" s="74">
        <v>425</v>
      </c>
      <c r="H195" s="75">
        <v>21.25</v>
      </c>
      <c r="I195" s="14"/>
      <c r="J195" s="18">
        <f t="shared" si="8"/>
        <v>446.25</v>
      </c>
      <c r="K195" s="32"/>
      <c r="L195" s="36">
        <f t="shared" si="6"/>
        <v>0</v>
      </c>
      <c r="M195" s="215"/>
      <c r="N195" s="6" t="s">
        <v>559</v>
      </c>
    </row>
    <row r="196" spans="1:14" ht="15.75">
      <c r="A196" s="11">
        <f t="shared" si="7"/>
        <v>190</v>
      </c>
      <c r="B196" s="19" t="s">
        <v>753</v>
      </c>
      <c r="C196" s="19"/>
      <c r="D196" s="19"/>
      <c r="E196" s="355" t="s">
        <v>754</v>
      </c>
      <c r="F196" s="14">
        <v>105</v>
      </c>
      <c r="G196" s="74">
        <v>100</v>
      </c>
      <c r="H196" s="75">
        <v>5</v>
      </c>
      <c r="I196" s="14"/>
      <c r="J196" s="18">
        <f t="shared" si="8"/>
        <v>105</v>
      </c>
      <c r="K196" s="32"/>
      <c r="L196" s="33">
        <f t="shared" si="6"/>
        <v>0</v>
      </c>
      <c r="M196" s="215"/>
      <c r="N196" s="6"/>
    </row>
    <row r="197" spans="1:14" ht="15.75">
      <c r="A197" s="11">
        <f t="shared" ref="A197:A252" si="9">1+A196</f>
        <v>191</v>
      </c>
      <c r="B197" s="19" t="s">
        <v>755</v>
      </c>
      <c r="C197" s="19"/>
      <c r="D197" s="19"/>
      <c r="E197" s="355" t="s">
        <v>756</v>
      </c>
      <c r="F197" s="14">
        <v>105</v>
      </c>
      <c r="G197" s="74">
        <v>100</v>
      </c>
      <c r="H197" s="75">
        <v>5</v>
      </c>
      <c r="I197" s="14"/>
      <c r="J197" s="18">
        <f t="shared" si="8"/>
        <v>105</v>
      </c>
      <c r="K197" s="32"/>
      <c r="L197" s="33">
        <f t="shared" si="6"/>
        <v>0</v>
      </c>
      <c r="M197" s="215"/>
    </row>
    <row r="198" spans="1:14" ht="15.75">
      <c r="A198" s="11">
        <f t="shared" si="9"/>
        <v>192</v>
      </c>
      <c r="B198" s="19" t="s">
        <v>757</v>
      </c>
      <c r="C198" s="19"/>
      <c r="D198" s="19"/>
      <c r="E198" s="356" t="s">
        <v>758</v>
      </c>
      <c r="F198" s="14">
        <v>52.5</v>
      </c>
      <c r="G198" s="74">
        <v>50</v>
      </c>
      <c r="H198" s="54">
        <v>2.5</v>
      </c>
      <c r="I198" s="14"/>
      <c r="J198" s="18">
        <f t="shared" si="8"/>
        <v>52.5</v>
      </c>
      <c r="K198" s="32"/>
      <c r="L198" s="33">
        <f t="shared" si="6"/>
        <v>0</v>
      </c>
      <c r="M198" s="215"/>
    </row>
    <row r="199" spans="1:14" ht="15.75">
      <c r="A199" s="11">
        <f t="shared" si="9"/>
        <v>193</v>
      </c>
      <c r="B199" s="19" t="s">
        <v>759</v>
      </c>
      <c r="C199" s="19"/>
      <c r="D199" s="19"/>
      <c r="E199" s="356" t="s">
        <v>760</v>
      </c>
      <c r="F199" s="14">
        <v>52.5</v>
      </c>
      <c r="G199" s="74">
        <v>50</v>
      </c>
      <c r="H199" s="381">
        <v>2.5</v>
      </c>
      <c r="I199" s="14"/>
      <c r="J199" s="18">
        <f t="shared" si="8"/>
        <v>52.5</v>
      </c>
      <c r="K199" s="32"/>
      <c r="L199" s="33">
        <f t="shared" si="6"/>
        <v>0</v>
      </c>
      <c r="M199" s="215"/>
    </row>
    <row r="200" spans="1:14" ht="15.75">
      <c r="A200" s="11">
        <f t="shared" si="9"/>
        <v>194</v>
      </c>
      <c r="B200" s="19" t="s">
        <v>761</v>
      </c>
      <c r="C200" s="19"/>
      <c r="D200" s="19"/>
      <c r="E200" s="356" t="s">
        <v>762</v>
      </c>
      <c r="F200" s="14">
        <v>52.5</v>
      </c>
      <c r="G200" s="74">
        <v>50</v>
      </c>
      <c r="H200" s="381">
        <v>2.5</v>
      </c>
      <c r="I200" s="14"/>
      <c r="J200" s="18">
        <f t="shared" si="8"/>
        <v>52.5</v>
      </c>
      <c r="K200" s="32"/>
      <c r="L200" s="33">
        <f t="shared" si="6"/>
        <v>0</v>
      </c>
      <c r="M200" s="215"/>
    </row>
    <row r="201" spans="1:14" ht="15.75">
      <c r="A201" s="11">
        <f t="shared" si="9"/>
        <v>195</v>
      </c>
      <c r="B201" s="333" t="s">
        <v>1009</v>
      </c>
      <c r="C201" s="19" t="s">
        <v>942</v>
      </c>
      <c r="D201" s="19">
        <v>105498</v>
      </c>
      <c r="E201" s="316" t="s">
        <v>1086</v>
      </c>
      <c r="F201" s="372">
        <v>216.47</v>
      </c>
      <c r="G201" s="74">
        <v>143.33000000000001</v>
      </c>
      <c r="H201" s="376">
        <v>7.17</v>
      </c>
      <c r="I201" s="14"/>
      <c r="J201" s="18">
        <f t="shared" si="8"/>
        <v>150.5</v>
      </c>
      <c r="K201" s="32"/>
      <c r="L201" s="414">
        <f t="shared" si="6"/>
        <v>65.97</v>
      </c>
      <c r="M201" s="215"/>
    </row>
    <row r="202" spans="1:14" ht="15.75">
      <c r="A202" s="11">
        <f t="shared" si="9"/>
        <v>196</v>
      </c>
      <c r="B202" s="19" t="s">
        <v>396</v>
      </c>
      <c r="C202" s="19" t="s">
        <v>942</v>
      </c>
      <c r="D202" s="19">
        <v>101573</v>
      </c>
      <c r="E202" s="356" t="s">
        <v>397</v>
      </c>
      <c r="F202" s="14">
        <v>105</v>
      </c>
      <c r="G202" s="74">
        <v>100</v>
      </c>
      <c r="H202" s="383">
        <v>5</v>
      </c>
      <c r="I202" s="14"/>
      <c r="J202" s="18">
        <f t="shared" si="8"/>
        <v>105</v>
      </c>
      <c r="K202" s="32"/>
      <c r="L202" s="33">
        <f>+(F202-((SUM(J202+K202))))</f>
        <v>0</v>
      </c>
      <c r="M202" s="42"/>
    </row>
    <row r="203" spans="1:14" ht="15.75">
      <c r="A203" s="11">
        <f t="shared" si="9"/>
        <v>197</v>
      </c>
      <c r="B203" s="19" t="s">
        <v>763</v>
      </c>
      <c r="C203" s="19" t="s">
        <v>942</v>
      </c>
      <c r="D203" s="19">
        <v>101229</v>
      </c>
      <c r="E203" s="356" t="s">
        <v>764</v>
      </c>
      <c r="F203" s="14">
        <v>52.5</v>
      </c>
      <c r="G203" s="53">
        <v>50</v>
      </c>
      <c r="H203" s="381">
        <v>2.5</v>
      </c>
      <c r="I203" s="248"/>
      <c r="J203" s="18">
        <f t="shared" si="8"/>
        <v>52.5</v>
      </c>
      <c r="K203" s="32"/>
      <c r="L203" s="33">
        <f t="shared" ref="L203:L226" si="10">+(F203-((SUM(J203+K203))))</f>
        <v>0</v>
      </c>
      <c r="M203" s="215" t="s">
        <v>1087</v>
      </c>
    </row>
    <row r="204" spans="1:14" ht="15.75">
      <c r="A204" s="11">
        <f t="shared" si="9"/>
        <v>198</v>
      </c>
      <c r="B204" s="19" t="s">
        <v>765</v>
      </c>
      <c r="C204" s="19" t="s">
        <v>942</v>
      </c>
      <c r="D204" s="19">
        <v>101286</v>
      </c>
      <c r="E204" s="356" t="s">
        <v>766</v>
      </c>
      <c r="F204" s="14">
        <v>52.5</v>
      </c>
      <c r="G204" s="53">
        <v>50</v>
      </c>
      <c r="H204" s="381">
        <v>2.5</v>
      </c>
      <c r="I204" s="248"/>
      <c r="J204" s="18">
        <f t="shared" si="8"/>
        <v>52.5</v>
      </c>
      <c r="K204" s="32"/>
      <c r="L204" s="33">
        <f t="shared" si="10"/>
        <v>0</v>
      </c>
      <c r="M204" s="215"/>
    </row>
    <row r="205" spans="1:14" ht="15.75">
      <c r="A205" s="11">
        <f t="shared" si="9"/>
        <v>199</v>
      </c>
      <c r="B205" s="116" t="s">
        <v>767</v>
      </c>
      <c r="C205" s="19" t="s">
        <v>942</v>
      </c>
      <c r="D205" s="19">
        <v>101858</v>
      </c>
      <c r="E205" s="356" t="s">
        <v>768</v>
      </c>
      <c r="F205" s="14">
        <v>52.5</v>
      </c>
      <c r="G205" s="74">
        <v>50</v>
      </c>
      <c r="H205" s="381">
        <v>2.5</v>
      </c>
      <c r="I205" s="14"/>
      <c r="J205" s="18">
        <f t="shared" si="8"/>
        <v>52.5</v>
      </c>
      <c r="K205" s="32"/>
      <c r="L205" s="33">
        <f t="shared" si="10"/>
        <v>0</v>
      </c>
      <c r="M205" s="215"/>
    </row>
    <row r="206" spans="1:14" ht="15.75">
      <c r="A206" s="11">
        <f t="shared" si="9"/>
        <v>200</v>
      </c>
      <c r="B206" s="19" t="s">
        <v>769</v>
      </c>
      <c r="C206" s="19" t="s">
        <v>942</v>
      </c>
      <c r="D206" s="19">
        <v>101060</v>
      </c>
      <c r="E206" s="356" t="s">
        <v>770</v>
      </c>
      <c r="F206" s="14">
        <v>52.5</v>
      </c>
      <c r="G206" s="74">
        <v>50</v>
      </c>
      <c r="H206" s="383">
        <v>2.5</v>
      </c>
      <c r="I206" s="14"/>
      <c r="J206" s="18">
        <f t="shared" si="8"/>
        <v>52.5</v>
      </c>
      <c r="K206" s="32"/>
      <c r="L206" s="33">
        <f t="shared" si="10"/>
        <v>0</v>
      </c>
      <c r="M206" s="215"/>
    </row>
    <row r="207" spans="1:14" ht="15.75">
      <c r="A207" s="11">
        <f t="shared" si="9"/>
        <v>201</v>
      </c>
      <c r="B207" s="19" t="s">
        <v>771</v>
      </c>
      <c r="C207" s="19" t="s">
        <v>942</v>
      </c>
      <c r="D207" s="19">
        <v>101702</v>
      </c>
      <c r="E207" s="355" t="s">
        <v>772</v>
      </c>
      <c r="F207" s="14">
        <v>52.5</v>
      </c>
      <c r="G207" s="74">
        <v>50</v>
      </c>
      <c r="H207" s="21">
        <v>2.5</v>
      </c>
      <c r="I207" s="14"/>
      <c r="J207" s="18">
        <f t="shared" si="8"/>
        <v>52.5</v>
      </c>
      <c r="K207" s="32"/>
      <c r="L207" s="33">
        <f t="shared" si="10"/>
        <v>0</v>
      </c>
      <c r="M207" s="215"/>
    </row>
    <row r="208" spans="1:14" ht="15.75">
      <c r="A208" s="11">
        <f t="shared" si="9"/>
        <v>202</v>
      </c>
      <c r="B208" s="301" t="s">
        <v>1049</v>
      </c>
      <c r="C208" s="197" t="s">
        <v>942</v>
      </c>
      <c r="D208" s="197">
        <v>105362</v>
      </c>
      <c r="E208" s="356" t="s">
        <v>1020</v>
      </c>
      <c r="F208" s="14">
        <v>53.39</v>
      </c>
      <c r="G208" s="238">
        <v>50</v>
      </c>
      <c r="H208" s="131">
        <v>2.5</v>
      </c>
      <c r="I208" s="160">
        <v>0.89</v>
      </c>
      <c r="J208" s="18">
        <f>SUM(G208+H208+I208)</f>
        <v>53.39</v>
      </c>
      <c r="K208" s="32"/>
      <c r="L208" s="33">
        <f>+(F208-((SUM(J208+K208))))</f>
        <v>0</v>
      </c>
      <c r="M208" s="215"/>
    </row>
    <row r="209" spans="1:13" ht="15.75">
      <c r="A209" s="11">
        <f t="shared" si="9"/>
        <v>203</v>
      </c>
      <c r="B209" s="19" t="s">
        <v>773</v>
      </c>
      <c r="C209" s="19" t="s">
        <v>942</v>
      </c>
      <c r="D209" s="19">
        <v>101092</v>
      </c>
      <c r="E209" s="355" t="s">
        <v>774</v>
      </c>
      <c r="F209" s="14">
        <v>52.5</v>
      </c>
      <c r="G209" s="74">
        <v>50</v>
      </c>
      <c r="H209" s="21">
        <v>2.5</v>
      </c>
      <c r="I209" s="14"/>
      <c r="J209" s="18">
        <f t="shared" si="8"/>
        <v>52.5</v>
      </c>
      <c r="K209" s="32"/>
      <c r="L209" s="33">
        <f t="shared" si="10"/>
        <v>0</v>
      </c>
      <c r="M209" s="215"/>
    </row>
    <row r="210" spans="1:13" ht="15.75">
      <c r="A210" s="11">
        <f t="shared" si="9"/>
        <v>204</v>
      </c>
      <c r="B210" s="19" t="s">
        <v>775</v>
      </c>
      <c r="C210" s="19" t="s">
        <v>942</v>
      </c>
      <c r="D210" s="262">
        <v>105278</v>
      </c>
      <c r="E210" s="356" t="s">
        <v>971</v>
      </c>
      <c r="F210" s="14">
        <v>52.5</v>
      </c>
      <c r="G210" s="20">
        <v>50</v>
      </c>
      <c r="H210" s="21">
        <v>2.5</v>
      </c>
      <c r="I210" s="14"/>
      <c r="J210" s="18">
        <f t="shared" si="8"/>
        <v>52.5</v>
      </c>
      <c r="K210" s="32"/>
      <c r="L210" s="33">
        <f t="shared" si="10"/>
        <v>0</v>
      </c>
      <c r="M210" s="215"/>
    </row>
    <row r="211" spans="1:13" ht="15.75">
      <c r="A211" s="11">
        <f t="shared" si="9"/>
        <v>205</v>
      </c>
      <c r="B211" s="19" t="s">
        <v>425</v>
      </c>
      <c r="C211" s="19" t="s">
        <v>942</v>
      </c>
      <c r="D211" s="19">
        <v>101904</v>
      </c>
      <c r="E211" s="356" t="s">
        <v>776</v>
      </c>
      <c r="F211" s="14">
        <v>52.5</v>
      </c>
      <c r="G211" s="74">
        <v>50</v>
      </c>
      <c r="H211" s="75">
        <v>2.5</v>
      </c>
      <c r="I211" s="14"/>
      <c r="J211" s="18">
        <f t="shared" si="8"/>
        <v>52.5</v>
      </c>
      <c r="K211" s="32"/>
      <c r="L211" s="33">
        <f t="shared" si="10"/>
        <v>0</v>
      </c>
      <c r="M211" s="215"/>
    </row>
    <row r="212" spans="1:13" ht="15.75">
      <c r="A212" s="11">
        <f t="shared" si="9"/>
        <v>206</v>
      </c>
      <c r="B212" s="19" t="s">
        <v>777</v>
      </c>
      <c r="C212" s="19" t="s">
        <v>942</v>
      </c>
      <c r="D212" s="19">
        <v>101627</v>
      </c>
      <c r="E212" s="356" t="s">
        <v>778</v>
      </c>
      <c r="F212" s="14">
        <v>52.5</v>
      </c>
      <c r="G212" s="20">
        <v>50</v>
      </c>
      <c r="H212" s="21">
        <v>2.5</v>
      </c>
      <c r="I212" s="248"/>
      <c r="J212" s="18">
        <f t="shared" si="8"/>
        <v>52.5</v>
      </c>
      <c r="K212" s="32"/>
      <c r="L212" s="33">
        <f t="shared" si="10"/>
        <v>0</v>
      </c>
      <c r="M212" s="215"/>
    </row>
    <row r="213" spans="1:13" ht="15.75">
      <c r="A213" s="11">
        <f t="shared" si="9"/>
        <v>207</v>
      </c>
      <c r="B213" s="19" t="s">
        <v>780</v>
      </c>
      <c r="C213" s="19" t="s">
        <v>942</v>
      </c>
      <c r="D213" s="19">
        <v>101083</v>
      </c>
      <c r="E213" s="355" t="s">
        <v>781</v>
      </c>
      <c r="F213" s="14">
        <v>52.5</v>
      </c>
      <c r="G213" s="74">
        <v>50</v>
      </c>
      <c r="H213" s="75">
        <v>2.5</v>
      </c>
      <c r="I213" s="14"/>
      <c r="J213" s="18">
        <f t="shared" si="8"/>
        <v>52.5</v>
      </c>
      <c r="K213" s="32"/>
      <c r="L213" s="33">
        <f t="shared" si="10"/>
        <v>0</v>
      </c>
      <c r="M213" s="215"/>
    </row>
    <row r="214" spans="1:13" ht="15.75">
      <c r="A214" s="11">
        <f t="shared" si="9"/>
        <v>208</v>
      </c>
      <c r="B214" s="19" t="s">
        <v>32</v>
      </c>
      <c r="C214" s="19" t="s">
        <v>942</v>
      </c>
      <c r="D214" s="19">
        <v>101068</v>
      </c>
      <c r="E214" s="361" t="s">
        <v>863</v>
      </c>
      <c r="F214" s="14">
        <v>52.5</v>
      </c>
      <c r="G214" s="20">
        <v>50</v>
      </c>
      <c r="H214" s="21">
        <v>2.5</v>
      </c>
      <c r="I214" s="14"/>
      <c r="J214" s="18">
        <f>SUM(G214+H214+I214)</f>
        <v>52.5</v>
      </c>
      <c r="K214" s="32"/>
      <c r="L214" s="33">
        <f t="shared" si="10"/>
        <v>0</v>
      </c>
      <c r="M214" s="215"/>
    </row>
    <row r="215" spans="1:13" ht="15.75">
      <c r="A215" s="11">
        <f t="shared" si="9"/>
        <v>209</v>
      </c>
      <c r="B215" s="19" t="s">
        <v>782</v>
      </c>
      <c r="C215" s="19" t="s">
        <v>942</v>
      </c>
      <c r="D215" s="19">
        <v>101639</v>
      </c>
      <c r="E215" s="355" t="s">
        <v>278</v>
      </c>
      <c r="F215" s="14">
        <v>105</v>
      </c>
      <c r="G215" s="74">
        <v>100</v>
      </c>
      <c r="H215" s="21">
        <v>5</v>
      </c>
      <c r="I215" s="14"/>
      <c r="J215" s="18">
        <f t="shared" ref="J215:J228" si="11">SUM(G215+H215+I215)</f>
        <v>105</v>
      </c>
      <c r="K215" s="32"/>
      <c r="L215" s="33">
        <f>+(F215-((SUM(J215+K215))))</f>
        <v>0</v>
      </c>
      <c r="M215" s="42"/>
    </row>
    <row r="216" spans="1:13" ht="15.75">
      <c r="A216" s="11">
        <f t="shared" si="9"/>
        <v>210</v>
      </c>
      <c r="B216" s="30" t="s">
        <v>783</v>
      </c>
      <c r="C216" s="19" t="s">
        <v>942</v>
      </c>
      <c r="D216" s="19">
        <v>101862</v>
      </c>
      <c r="E216" s="315" t="s">
        <v>1058</v>
      </c>
      <c r="F216" s="14">
        <v>52.5</v>
      </c>
      <c r="G216" s="74">
        <v>50</v>
      </c>
      <c r="H216" s="75">
        <v>2.5</v>
      </c>
      <c r="I216" s="249"/>
      <c r="J216" s="18">
        <f t="shared" si="11"/>
        <v>52.5</v>
      </c>
      <c r="K216" s="35"/>
      <c r="L216" s="33">
        <f t="shared" si="10"/>
        <v>0</v>
      </c>
      <c r="M216" s="215"/>
    </row>
    <row r="217" spans="1:13" ht="15.75">
      <c r="A217" s="11">
        <f t="shared" si="9"/>
        <v>211</v>
      </c>
      <c r="B217" s="132" t="s">
        <v>1050</v>
      </c>
      <c r="C217" s="197" t="s">
        <v>942</v>
      </c>
      <c r="D217" s="197">
        <v>105554</v>
      </c>
      <c r="E217" s="356" t="s">
        <v>1051</v>
      </c>
      <c r="F217" s="14">
        <v>52.5</v>
      </c>
      <c r="G217" s="238">
        <v>50</v>
      </c>
      <c r="H217" s="131">
        <v>2.5</v>
      </c>
      <c r="I217" s="14"/>
      <c r="J217" s="18">
        <f>SUM(G217+H217+I217)</f>
        <v>52.5</v>
      </c>
      <c r="K217" s="32"/>
      <c r="L217" s="33">
        <f>+(F217-((SUM(J217+K217))))</f>
        <v>0</v>
      </c>
      <c r="M217" s="215"/>
    </row>
    <row r="218" spans="1:13" ht="15.75">
      <c r="A218" s="11">
        <f t="shared" si="9"/>
        <v>212</v>
      </c>
      <c r="B218" s="19" t="s">
        <v>14</v>
      </c>
      <c r="C218" s="19" t="s">
        <v>942</v>
      </c>
      <c r="D218" s="19">
        <v>101710</v>
      </c>
      <c r="E218" s="361" t="s">
        <v>787</v>
      </c>
      <c r="F218" s="14">
        <v>52.5</v>
      </c>
      <c r="G218" s="20">
        <v>50</v>
      </c>
      <c r="H218" s="21">
        <v>2.5</v>
      </c>
      <c r="I218" s="14"/>
      <c r="J218" s="18">
        <f t="shared" si="11"/>
        <v>52.5</v>
      </c>
      <c r="K218" s="32"/>
      <c r="L218" s="33">
        <f t="shared" si="10"/>
        <v>0</v>
      </c>
      <c r="M218" s="215"/>
    </row>
    <row r="219" spans="1:13" ht="15.75">
      <c r="A219" s="11">
        <f t="shared" si="9"/>
        <v>213</v>
      </c>
      <c r="B219" s="19" t="s">
        <v>904</v>
      </c>
      <c r="C219" s="19" t="s">
        <v>942</v>
      </c>
      <c r="D219" s="19">
        <v>101901</v>
      </c>
      <c r="E219" s="356" t="s">
        <v>972</v>
      </c>
      <c r="F219" s="14">
        <v>52.5</v>
      </c>
      <c r="G219" s="74">
        <v>50</v>
      </c>
      <c r="H219" s="54">
        <v>2.5</v>
      </c>
      <c r="I219" s="14"/>
      <c r="J219" s="18">
        <f t="shared" si="11"/>
        <v>52.5</v>
      </c>
      <c r="K219" s="32"/>
      <c r="L219" s="33">
        <f t="shared" si="10"/>
        <v>0</v>
      </c>
      <c r="M219" s="215"/>
    </row>
    <row r="220" spans="1:13" ht="15.75">
      <c r="A220" s="11">
        <f t="shared" si="9"/>
        <v>214</v>
      </c>
      <c r="B220" s="19" t="s">
        <v>788</v>
      </c>
      <c r="C220" s="19" t="s">
        <v>942</v>
      </c>
      <c r="D220" s="19">
        <v>101887</v>
      </c>
      <c r="E220" s="356" t="s">
        <v>789</v>
      </c>
      <c r="F220" s="14">
        <v>52.5</v>
      </c>
      <c r="G220" s="74">
        <v>50</v>
      </c>
      <c r="H220" s="54">
        <v>2.5</v>
      </c>
      <c r="I220" s="14"/>
      <c r="J220" s="18">
        <f t="shared" si="11"/>
        <v>52.5</v>
      </c>
      <c r="K220" s="32"/>
      <c r="L220" s="33">
        <f t="shared" si="10"/>
        <v>0</v>
      </c>
      <c r="M220" s="37"/>
    </row>
    <row r="221" spans="1:13" ht="15.75">
      <c r="A221" s="11">
        <f t="shared" si="9"/>
        <v>215</v>
      </c>
      <c r="B221" s="19" t="s">
        <v>20</v>
      </c>
      <c r="C221" s="19" t="s">
        <v>942</v>
      </c>
      <c r="D221" s="19">
        <v>101737</v>
      </c>
      <c r="E221" s="355" t="s">
        <v>790</v>
      </c>
      <c r="F221" s="14">
        <v>52.5</v>
      </c>
      <c r="G221" s="20">
        <v>50</v>
      </c>
      <c r="H221" s="21">
        <v>2.5</v>
      </c>
      <c r="I221" s="14"/>
      <c r="J221" s="18">
        <f t="shared" si="11"/>
        <v>52.5</v>
      </c>
      <c r="K221" s="32"/>
      <c r="L221" s="33">
        <f t="shared" si="10"/>
        <v>0</v>
      </c>
      <c r="M221" s="215"/>
    </row>
    <row r="222" spans="1:13" ht="15.75">
      <c r="A222" s="11">
        <f t="shared" si="9"/>
        <v>216</v>
      </c>
      <c r="B222" s="19" t="s">
        <v>929</v>
      </c>
      <c r="C222" s="19" t="s">
        <v>942</v>
      </c>
      <c r="D222" s="19">
        <v>105221</v>
      </c>
      <c r="E222" s="355" t="s">
        <v>973</v>
      </c>
      <c r="F222" s="14">
        <v>52.5</v>
      </c>
      <c r="G222" s="74">
        <v>50</v>
      </c>
      <c r="H222" s="75">
        <v>2.5</v>
      </c>
      <c r="I222" s="14"/>
      <c r="J222" s="18">
        <f>SUM(G222+H222+I222)</f>
        <v>52.5</v>
      </c>
      <c r="K222" s="32"/>
      <c r="L222" s="33">
        <f>+(F222-((SUM(J222+K222))))</f>
        <v>0</v>
      </c>
      <c r="M222" s="215"/>
    </row>
    <row r="223" spans="1:13" ht="15.75">
      <c r="A223" s="11">
        <f t="shared" si="9"/>
        <v>217</v>
      </c>
      <c r="B223" s="19" t="s">
        <v>791</v>
      </c>
      <c r="C223" s="19"/>
      <c r="D223" s="19"/>
      <c r="E223" s="356" t="s">
        <v>792</v>
      </c>
      <c r="F223" s="14">
        <v>446.25</v>
      </c>
      <c r="G223" s="20">
        <v>425</v>
      </c>
      <c r="H223" s="21">
        <v>21.25</v>
      </c>
      <c r="I223" s="14"/>
      <c r="J223" s="18">
        <f t="shared" si="11"/>
        <v>446.25</v>
      </c>
      <c r="K223" s="32"/>
      <c r="L223" s="33">
        <f t="shared" si="10"/>
        <v>0</v>
      </c>
      <c r="M223" s="215"/>
    </row>
    <row r="224" spans="1:13" ht="15.75">
      <c r="A224" s="11">
        <f t="shared" si="9"/>
        <v>218</v>
      </c>
      <c r="B224" s="55" t="s">
        <v>793</v>
      </c>
      <c r="C224" s="55"/>
      <c r="D224" s="55"/>
      <c r="E224" s="363" t="s">
        <v>794</v>
      </c>
      <c r="F224" s="147">
        <v>446.25</v>
      </c>
      <c r="G224" s="56">
        <v>425</v>
      </c>
      <c r="H224" s="57">
        <v>21.25</v>
      </c>
      <c r="I224" s="147"/>
      <c r="J224" s="18">
        <f t="shared" si="11"/>
        <v>446.25</v>
      </c>
      <c r="K224" s="41"/>
      <c r="L224" s="85">
        <f t="shared" si="10"/>
        <v>0</v>
      </c>
      <c r="M224" s="218"/>
    </row>
    <row r="225" spans="1:14" ht="15.75">
      <c r="A225" s="11">
        <f t="shared" si="9"/>
        <v>219</v>
      </c>
      <c r="B225" s="19" t="s">
        <v>974</v>
      </c>
      <c r="C225" s="19" t="s">
        <v>942</v>
      </c>
      <c r="D225" s="19">
        <v>105183</v>
      </c>
      <c r="E225" s="356" t="s">
        <v>975</v>
      </c>
      <c r="F225" s="14">
        <v>52.5</v>
      </c>
      <c r="G225" s="20">
        <v>50</v>
      </c>
      <c r="H225" s="21">
        <v>2.5</v>
      </c>
      <c r="I225" s="14"/>
      <c r="J225" s="18">
        <f t="shared" si="11"/>
        <v>52.5</v>
      </c>
      <c r="K225" s="32"/>
      <c r="L225" s="85">
        <f t="shared" si="10"/>
        <v>0</v>
      </c>
      <c r="M225" s="218"/>
    </row>
    <row r="226" spans="1:14" ht="15.75">
      <c r="A226" s="11">
        <f t="shared" si="9"/>
        <v>220</v>
      </c>
      <c r="B226" s="55" t="s">
        <v>976</v>
      </c>
      <c r="C226" s="55" t="s">
        <v>942</v>
      </c>
      <c r="D226" s="55">
        <v>105065</v>
      </c>
      <c r="E226" s="356" t="s">
        <v>977</v>
      </c>
      <c r="F226" s="147">
        <v>105</v>
      </c>
      <c r="G226" s="56">
        <v>100</v>
      </c>
      <c r="H226" s="21">
        <v>5</v>
      </c>
      <c r="I226" s="147"/>
      <c r="J226" s="18">
        <f t="shared" si="11"/>
        <v>105</v>
      </c>
      <c r="K226" s="41"/>
      <c r="L226" s="85">
        <f t="shared" si="10"/>
        <v>0</v>
      </c>
      <c r="M226" s="218"/>
    </row>
    <row r="227" spans="1:14" ht="15.75">
      <c r="A227" s="11">
        <f t="shared" si="9"/>
        <v>221</v>
      </c>
      <c r="B227" s="55" t="s">
        <v>978</v>
      </c>
      <c r="C227" s="19" t="s">
        <v>942</v>
      </c>
      <c r="D227" s="19">
        <v>105141</v>
      </c>
      <c r="E227" s="356" t="s">
        <v>979</v>
      </c>
      <c r="F227" s="14">
        <v>52.5</v>
      </c>
      <c r="G227" s="56">
        <v>50</v>
      </c>
      <c r="H227" s="21">
        <v>2.5</v>
      </c>
      <c r="I227" s="147"/>
      <c r="J227" s="18">
        <f t="shared" si="11"/>
        <v>52.5</v>
      </c>
      <c r="K227" s="41"/>
      <c r="L227" s="85">
        <f>+(F227-((SUM(J227+K227))))</f>
        <v>0</v>
      </c>
      <c r="M227" s="37"/>
    </row>
    <row r="228" spans="1:14" ht="15.75">
      <c r="A228" s="11">
        <f t="shared" si="9"/>
        <v>222</v>
      </c>
      <c r="B228" s="243" t="s">
        <v>574</v>
      </c>
      <c r="C228" s="19" t="s">
        <v>942</v>
      </c>
      <c r="D228" s="19">
        <v>105290</v>
      </c>
      <c r="E228" s="356" t="s">
        <v>1040</v>
      </c>
      <c r="F228" s="14">
        <v>52.5</v>
      </c>
      <c r="G228" s="53">
        <v>50</v>
      </c>
      <c r="H228" s="54">
        <v>2.5</v>
      </c>
      <c r="I228" s="14"/>
      <c r="J228" s="18">
        <f t="shared" si="11"/>
        <v>52.5</v>
      </c>
      <c r="K228" s="32"/>
      <c r="L228" s="33">
        <f>+(F228-((SUM(J228+K228))))</f>
        <v>0</v>
      </c>
      <c r="M228" s="215"/>
      <c r="N228" s="6"/>
    </row>
    <row r="229" spans="1:14" ht="15.75">
      <c r="A229" s="11">
        <f t="shared" si="9"/>
        <v>223</v>
      </c>
      <c r="B229" s="19" t="s">
        <v>693</v>
      </c>
      <c r="C229" s="19" t="s">
        <v>942</v>
      </c>
      <c r="D229" s="19">
        <v>105269</v>
      </c>
      <c r="E229" s="355" t="s">
        <v>986</v>
      </c>
      <c r="F229" s="14">
        <v>112.97</v>
      </c>
      <c r="G229" s="74">
        <v>100</v>
      </c>
      <c r="H229" s="75">
        <v>5</v>
      </c>
      <c r="I229" s="14">
        <v>7.97</v>
      </c>
      <c r="J229" s="18">
        <f>SUM(G229+H229+I229)</f>
        <v>112.97</v>
      </c>
      <c r="K229" s="32"/>
      <c r="L229" s="33">
        <f>+(F229-((SUM(J229+K229))))</f>
        <v>0</v>
      </c>
      <c r="M229" s="215"/>
      <c r="N229" s="6"/>
    </row>
    <row r="230" spans="1:14" ht="15.75">
      <c r="A230" s="11">
        <f t="shared" si="9"/>
        <v>224</v>
      </c>
      <c r="B230" s="19" t="s">
        <v>987</v>
      </c>
      <c r="C230" s="19" t="s">
        <v>942</v>
      </c>
      <c r="D230" s="19">
        <v>105267</v>
      </c>
      <c r="E230" s="377" t="s">
        <v>988</v>
      </c>
      <c r="F230" s="14">
        <v>164.33</v>
      </c>
      <c r="G230" s="20">
        <v>100</v>
      </c>
      <c r="H230" s="21">
        <v>2.5</v>
      </c>
      <c r="I230" s="14">
        <v>61.83</v>
      </c>
      <c r="J230" s="18">
        <f>SUM(G230+H230+I230)</f>
        <v>164.32999999999998</v>
      </c>
      <c r="K230" s="32"/>
      <c r="L230" s="85">
        <f>+(F230-((SUM(J230+K230))))</f>
        <v>2.8421709430404007E-14</v>
      </c>
      <c r="M230" s="37" t="s">
        <v>1076</v>
      </c>
      <c r="N230" s="6"/>
    </row>
    <row r="231" spans="1:14" ht="15.75">
      <c r="A231" s="11">
        <f t="shared" si="9"/>
        <v>225</v>
      </c>
      <c r="B231" s="22" t="s">
        <v>779</v>
      </c>
      <c r="C231" s="19" t="s">
        <v>942</v>
      </c>
      <c r="D231" s="19">
        <v>101562</v>
      </c>
      <c r="E231" s="378" t="s">
        <v>989</v>
      </c>
      <c r="F231" s="14">
        <v>52.5</v>
      </c>
      <c r="G231" s="74">
        <v>50</v>
      </c>
      <c r="H231" s="75">
        <v>2.5</v>
      </c>
      <c r="I231" s="249"/>
      <c r="J231" s="18">
        <f>SUM(G231+H231+I231)</f>
        <v>52.5</v>
      </c>
      <c r="K231" s="35"/>
      <c r="L231" s="36">
        <f>+(F231-((SUM(J231+K231))))</f>
        <v>0</v>
      </c>
      <c r="M231" s="215"/>
      <c r="N231" s="6"/>
    </row>
    <row r="232" spans="1:14" ht="15.75">
      <c r="A232" s="11">
        <f t="shared" si="9"/>
        <v>226</v>
      </c>
      <c r="B232" s="55" t="s">
        <v>991</v>
      </c>
      <c r="C232" s="19" t="s">
        <v>942</v>
      </c>
      <c r="D232" s="19">
        <v>105309</v>
      </c>
      <c r="E232" s="411" t="s">
        <v>992</v>
      </c>
      <c r="F232" s="14">
        <v>153.25</v>
      </c>
      <c r="G232" s="74">
        <v>50</v>
      </c>
      <c r="H232" s="75">
        <v>2.5</v>
      </c>
      <c r="I232" s="249"/>
      <c r="J232" s="18">
        <f t="shared" ref="J232:J252" si="12">SUM(G232+H232+I232)</f>
        <v>52.5</v>
      </c>
      <c r="K232" s="35"/>
      <c r="L232" s="36">
        <f t="shared" ref="L232:L236" si="13">+(F232-((SUM(J232+K232))))</f>
        <v>100.75</v>
      </c>
      <c r="M232" s="215" t="s">
        <v>1076</v>
      </c>
      <c r="N232" s="6"/>
    </row>
    <row r="233" spans="1:14" ht="15.75">
      <c r="A233" s="11">
        <f t="shared" si="9"/>
        <v>227</v>
      </c>
      <c r="B233" s="280" t="s">
        <v>993</v>
      </c>
      <c r="C233" s="12" t="s">
        <v>942</v>
      </c>
      <c r="D233" s="19">
        <v>105298</v>
      </c>
      <c r="E233" s="378" t="s">
        <v>994</v>
      </c>
      <c r="F233" s="14">
        <v>52.5</v>
      </c>
      <c r="G233" s="74">
        <v>50</v>
      </c>
      <c r="H233" s="75">
        <v>2.5</v>
      </c>
      <c r="I233" s="249"/>
      <c r="J233" s="18">
        <f t="shared" si="12"/>
        <v>52.5</v>
      </c>
      <c r="K233" s="35"/>
      <c r="L233" s="36">
        <f t="shared" si="13"/>
        <v>0</v>
      </c>
      <c r="M233" s="215"/>
      <c r="N233" s="6"/>
    </row>
    <row r="234" spans="1:14" ht="15.75">
      <c r="A234" s="11">
        <f t="shared" si="9"/>
        <v>228</v>
      </c>
      <c r="B234" s="280" t="s">
        <v>995</v>
      </c>
      <c r="C234" s="12" t="s">
        <v>942</v>
      </c>
      <c r="D234" s="19">
        <v>105320</v>
      </c>
      <c r="E234" s="378" t="s">
        <v>996</v>
      </c>
      <c r="F234" s="14">
        <v>52.5</v>
      </c>
      <c r="G234" s="74">
        <v>50</v>
      </c>
      <c r="H234" s="75">
        <v>2.5</v>
      </c>
      <c r="I234" s="249"/>
      <c r="J234" s="18">
        <f t="shared" si="12"/>
        <v>52.5</v>
      </c>
      <c r="K234" s="35"/>
      <c r="L234" s="36">
        <f t="shared" si="13"/>
        <v>0</v>
      </c>
      <c r="M234" s="215"/>
      <c r="N234" s="6"/>
    </row>
    <row r="235" spans="1:14" ht="15.75">
      <c r="A235" s="11">
        <f t="shared" si="9"/>
        <v>229</v>
      </c>
      <c r="B235" s="333" t="s">
        <v>1001</v>
      </c>
      <c r="C235" s="19" t="s">
        <v>942</v>
      </c>
      <c r="D235" s="19">
        <v>105266</v>
      </c>
      <c r="E235" s="384" t="s">
        <v>1002</v>
      </c>
      <c r="F235" s="14">
        <v>105</v>
      </c>
      <c r="G235" s="74">
        <v>100</v>
      </c>
      <c r="H235" s="75">
        <v>5</v>
      </c>
      <c r="I235" s="249"/>
      <c r="J235" s="18">
        <f>SUM(G235+H235+I235)</f>
        <v>105</v>
      </c>
      <c r="K235" s="35"/>
      <c r="L235" s="36">
        <f>+(F235-((SUM(J235+K235))))</f>
        <v>0</v>
      </c>
      <c r="M235" s="215"/>
      <c r="N235" s="6"/>
    </row>
    <row r="236" spans="1:14" ht="15.75">
      <c r="A236" s="11">
        <f t="shared" si="9"/>
        <v>230</v>
      </c>
      <c r="B236" s="333" t="s">
        <v>1005</v>
      </c>
      <c r="C236" s="19" t="s">
        <v>942</v>
      </c>
      <c r="D236" s="19">
        <v>105313</v>
      </c>
      <c r="E236" s="374" t="s">
        <v>1006</v>
      </c>
      <c r="F236" s="14">
        <v>200.3</v>
      </c>
      <c r="G236" s="74">
        <v>100</v>
      </c>
      <c r="H236" s="75">
        <v>5</v>
      </c>
      <c r="I236" s="249"/>
      <c r="J236" s="18">
        <f t="shared" si="12"/>
        <v>105</v>
      </c>
      <c r="K236" s="35"/>
      <c r="L236" s="36">
        <f t="shared" si="13"/>
        <v>95.300000000000011</v>
      </c>
      <c r="M236" s="215" t="s">
        <v>1076</v>
      </c>
      <c r="N236" s="6" t="s">
        <v>1073</v>
      </c>
    </row>
    <row r="237" spans="1:14" ht="15.75">
      <c r="A237" s="11">
        <f t="shared" si="9"/>
        <v>231</v>
      </c>
      <c r="B237" s="132" t="s">
        <v>1088</v>
      </c>
      <c r="C237" s="197" t="s">
        <v>942</v>
      </c>
      <c r="D237" s="197">
        <v>105589</v>
      </c>
      <c r="E237" s="356" t="s">
        <v>1089</v>
      </c>
      <c r="F237" s="14">
        <v>105</v>
      </c>
      <c r="G237" s="238">
        <v>100</v>
      </c>
      <c r="H237" s="131">
        <v>5</v>
      </c>
      <c r="I237" s="14"/>
      <c r="J237" s="18">
        <f>SUM(G237+H237+I237)</f>
        <v>105</v>
      </c>
      <c r="K237" s="32"/>
      <c r="L237" s="33">
        <f>+(F237-((SUM(J237+K237))))</f>
        <v>0</v>
      </c>
      <c r="M237" s="217"/>
    </row>
    <row r="238" spans="1:14" ht="15.75">
      <c r="A238" s="11">
        <f t="shared" si="9"/>
        <v>232</v>
      </c>
      <c r="B238" s="333" t="s">
        <v>1013</v>
      </c>
      <c r="C238" s="19"/>
      <c r="D238" s="19"/>
      <c r="E238" s="390" t="s">
        <v>1014</v>
      </c>
      <c r="F238" s="14">
        <v>105</v>
      </c>
      <c r="G238" s="74">
        <v>100</v>
      </c>
      <c r="H238" s="75">
        <v>5</v>
      </c>
      <c r="I238" s="249"/>
      <c r="J238" s="18">
        <f>SUM(G238+H238+I238)</f>
        <v>105</v>
      </c>
      <c r="K238" s="35"/>
      <c r="L238" s="36">
        <f>+(F238-((SUM(J238+K238))))</f>
        <v>0</v>
      </c>
      <c r="M238" s="215"/>
      <c r="N238" s="6"/>
    </row>
    <row r="239" spans="1:14" ht="15.75">
      <c r="A239" s="11">
        <f t="shared" si="9"/>
        <v>233</v>
      </c>
      <c r="B239" s="30" t="s">
        <v>1019</v>
      </c>
      <c r="C239" s="19"/>
      <c r="D239" s="19"/>
      <c r="E239" s="392" t="s">
        <v>1092</v>
      </c>
      <c r="F239" s="14">
        <v>105</v>
      </c>
      <c r="G239" s="74">
        <v>100</v>
      </c>
      <c r="H239" s="75">
        <v>5</v>
      </c>
      <c r="I239" s="249"/>
      <c r="J239" s="18">
        <f>SUM(G239+H239+I239)</f>
        <v>105</v>
      </c>
      <c r="K239" s="35"/>
      <c r="L239" s="36">
        <f>+(F239-((SUM(J239+K239))))</f>
        <v>0</v>
      </c>
      <c r="M239" s="215"/>
      <c r="N239" s="6"/>
    </row>
    <row r="240" spans="1:14" ht="15.75">
      <c r="A240" s="11">
        <f t="shared" si="9"/>
        <v>234</v>
      </c>
      <c r="B240" s="30" t="s">
        <v>1021</v>
      </c>
      <c r="C240" s="19"/>
      <c r="D240" s="19"/>
      <c r="E240" s="392" t="s">
        <v>1093</v>
      </c>
      <c r="F240" s="14">
        <v>105</v>
      </c>
      <c r="G240" s="274">
        <v>100</v>
      </c>
      <c r="H240" s="275">
        <v>5</v>
      </c>
      <c r="I240" s="249"/>
      <c r="J240" s="18">
        <f t="shared" si="12"/>
        <v>105</v>
      </c>
      <c r="K240" s="35"/>
      <c r="L240" s="36">
        <f t="shared" ref="L240:L252" si="14">+(F240-((SUM(J240+K240))))</f>
        <v>0</v>
      </c>
      <c r="M240" s="215"/>
      <c r="N240" s="6"/>
    </row>
    <row r="241" spans="1:14" ht="15.75">
      <c r="A241" s="11">
        <f t="shared" si="9"/>
        <v>235</v>
      </c>
      <c r="B241" s="30" t="s">
        <v>1094</v>
      </c>
      <c r="C241" s="19"/>
      <c r="D241" s="19"/>
      <c r="E241" s="392" t="s">
        <v>1096</v>
      </c>
      <c r="F241" s="14">
        <v>105</v>
      </c>
      <c r="G241" s="74">
        <v>100</v>
      </c>
      <c r="H241" s="75">
        <v>5</v>
      </c>
      <c r="I241" s="249"/>
      <c r="J241" s="18">
        <f t="shared" si="12"/>
        <v>105</v>
      </c>
      <c r="K241" s="35"/>
      <c r="L241" s="36">
        <f t="shared" si="14"/>
        <v>0</v>
      </c>
      <c r="M241" s="221"/>
      <c r="N241" s="40"/>
    </row>
    <row r="242" spans="1:14" ht="15.75">
      <c r="A242" s="11">
        <f t="shared" si="9"/>
        <v>236</v>
      </c>
      <c r="B242" s="30" t="s">
        <v>1111</v>
      </c>
      <c r="C242" s="19"/>
      <c r="D242" s="19"/>
      <c r="E242" s="392" t="s">
        <v>1112</v>
      </c>
      <c r="F242" s="14">
        <v>52.5</v>
      </c>
      <c r="G242" s="74">
        <v>50</v>
      </c>
      <c r="H242" s="75">
        <v>2.5</v>
      </c>
      <c r="I242" s="249"/>
      <c r="J242" s="18">
        <f t="shared" ref="J242:J249" si="15">SUM(G242+H242+I242)</f>
        <v>52.5</v>
      </c>
      <c r="K242" s="35"/>
      <c r="L242" s="36">
        <f t="shared" ref="L242:L249" si="16">+(F242-((SUM(J242+K242))))</f>
        <v>0</v>
      </c>
      <c r="M242" s="221"/>
      <c r="N242" s="40"/>
    </row>
    <row r="243" spans="1:14" ht="15.75">
      <c r="A243" s="11">
        <f t="shared" si="9"/>
        <v>237</v>
      </c>
      <c r="B243" s="30" t="s">
        <v>1113</v>
      </c>
      <c r="C243" s="19"/>
      <c r="D243" s="19"/>
      <c r="E243" s="392" t="s">
        <v>1114</v>
      </c>
      <c r="F243" s="14">
        <v>105</v>
      </c>
      <c r="G243" s="74">
        <v>100</v>
      </c>
      <c r="H243" s="75">
        <v>5</v>
      </c>
      <c r="I243" s="249"/>
      <c r="J243" s="18">
        <f t="shared" si="15"/>
        <v>105</v>
      </c>
      <c r="K243" s="35"/>
      <c r="L243" s="36">
        <f t="shared" si="16"/>
        <v>0</v>
      </c>
      <c r="M243" s="221"/>
      <c r="N243" s="40"/>
    </row>
    <row r="244" spans="1:14" ht="15.75">
      <c r="A244" s="11">
        <f t="shared" si="9"/>
        <v>238</v>
      </c>
      <c r="B244" s="30" t="s">
        <v>1115</v>
      </c>
      <c r="C244" s="19"/>
      <c r="D244" s="19"/>
      <c r="E244" s="392" t="s">
        <v>1116</v>
      </c>
      <c r="F244" s="14">
        <v>53.1</v>
      </c>
      <c r="G244" s="74">
        <v>50</v>
      </c>
      <c r="H244" s="75">
        <v>2.5</v>
      </c>
      <c r="I244" s="249"/>
      <c r="J244" s="18">
        <f t="shared" si="15"/>
        <v>52.5</v>
      </c>
      <c r="K244" s="35"/>
      <c r="L244" s="36">
        <f t="shared" si="16"/>
        <v>0.60000000000000142</v>
      </c>
      <c r="M244" s="221"/>
      <c r="N244" s="40"/>
    </row>
    <row r="245" spans="1:14" ht="15.75">
      <c r="A245" s="11">
        <f t="shared" si="9"/>
        <v>239</v>
      </c>
      <c r="B245" s="30" t="s">
        <v>1117</v>
      </c>
      <c r="C245" s="19"/>
      <c r="D245" s="19"/>
      <c r="E245" s="392" t="s">
        <v>1118</v>
      </c>
      <c r="F245" s="14">
        <v>105</v>
      </c>
      <c r="G245" s="74">
        <v>100</v>
      </c>
      <c r="H245" s="75">
        <v>5</v>
      </c>
      <c r="I245" s="249"/>
      <c r="J245" s="18">
        <f t="shared" si="15"/>
        <v>105</v>
      </c>
      <c r="K245" s="35"/>
      <c r="L245" s="36">
        <f t="shared" si="16"/>
        <v>0</v>
      </c>
      <c r="M245" s="221"/>
      <c r="N245" s="40"/>
    </row>
    <row r="246" spans="1:14" ht="15.75">
      <c r="A246" s="11">
        <f t="shared" si="9"/>
        <v>240</v>
      </c>
      <c r="B246" s="30" t="s">
        <v>1119</v>
      </c>
      <c r="C246" s="19"/>
      <c r="D246" s="19"/>
      <c r="E246" s="392" t="s">
        <v>1120</v>
      </c>
      <c r="F246" s="14">
        <v>52.5</v>
      </c>
      <c r="G246" s="74">
        <v>50</v>
      </c>
      <c r="H246" s="75">
        <v>2.5</v>
      </c>
      <c r="I246" s="249"/>
      <c r="J246" s="18">
        <f t="shared" si="15"/>
        <v>52.5</v>
      </c>
      <c r="K246" s="35"/>
      <c r="L246" s="36">
        <f t="shared" si="16"/>
        <v>0</v>
      </c>
      <c r="M246" s="221"/>
      <c r="N246" s="40"/>
    </row>
    <row r="247" spans="1:14" ht="15.75">
      <c r="A247" s="11">
        <f t="shared" si="9"/>
        <v>241</v>
      </c>
      <c r="B247" s="30" t="s">
        <v>1121</v>
      </c>
      <c r="C247" s="19"/>
      <c r="D247" s="19"/>
      <c r="E247" s="392" t="s">
        <v>1122</v>
      </c>
      <c r="F247" s="14">
        <v>52.5</v>
      </c>
      <c r="G247" s="74">
        <v>50</v>
      </c>
      <c r="H247" s="75">
        <v>2.5</v>
      </c>
      <c r="I247" s="249"/>
      <c r="J247" s="18">
        <f t="shared" si="15"/>
        <v>52.5</v>
      </c>
      <c r="K247" s="35"/>
      <c r="L247" s="36">
        <f t="shared" si="16"/>
        <v>0</v>
      </c>
      <c r="M247" s="221"/>
      <c r="N247" s="40"/>
    </row>
    <row r="248" spans="1:14" ht="15.75">
      <c r="A248" s="11">
        <f t="shared" si="9"/>
        <v>242</v>
      </c>
      <c r="B248" s="30" t="s">
        <v>1123</v>
      </c>
      <c r="C248" s="19"/>
      <c r="D248" s="19"/>
      <c r="E248" s="392" t="s">
        <v>1124</v>
      </c>
      <c r="F248" s="14">
        <v>52.5</v>
      </c>
      <c r="G248" s="74">
        <v>50</v>
      </c>
      <c r="H248" s="75">
        <v>2.5</v>
      </c>
      <c r="I248" s="249"/>
      <c r="J248" s="18">
        <f t="shared" si="15"/>
        <v>52.5</v>
      </c>
      <c r="K248" s="35"/>
      <c r="L248" s="36">
        <f t="shared" si="16"/>
        <v>0</v>
      </c>
      <c r="M248" s="221"/>
      <c r="N248" s="40"/>
    </row>
    <row r="249" spans="1:14" ht="15.75">
      <c r="A249" s="11">
        <f t="shared" si="9"/>
        <v>243</v>
      </c>
      <c r="B249" s="132" t="s">
        <v>1097</v>
      </c>
      <c r="C249" s="19"/>
      <c r="D249" s="19"/>
      <c r="E249" s="389" t="s">
        <v>1098</v>
      </c>
      <c r="F249" s="14">
        <v>105</v>
      </c>
      <c r="G249" s="238">
        <v>100</v>
      </c>
      <c r="H249" s="131">
        <v>5</v>
      </c>
      <c r="I249" s="14"/>
      <c r="J249" s="18">
        <f t="shared" si="15"/>
        <v>105</v>
      </c>
      <c r="K249" s="35"/>
      <c r="L249" s="36">
        <f t="shared" si="16"/>
        <v>0</v>
      </c>
      <c r="M249" s="217"/>
    </row>
    <row r="250" spans="1:14" ht="15.75">
      <c r="A250" s="11">
        <f t="shared" si="9"/>
        <v>244</v>
      </c>
      <c r="B250" s="132" t="s">
        <v>1099</v>
      </c>
      <c r="C250" s="19"/>
      <c r="D250" s="19"/>
      <c r="E250" s="389" t="s">
        <v>1100</v>
      </c>
      <c r="F250" s="14">
        <v>52.5</v>
      </c>
      <c r="G250" s="238">
        <v>50</v>
      </c>
      <c r="H250" s="131">
        <v>2.5</v>
      </c>
      <c r="I250" s="14"/>
      <c r="J250" s="18">
        <f t="shared" si="12"/>
        <v>52.5</v>
      </c>
      <c r="K250" s="32"/>
      <c r="L250" s="33">
        <f t="shared" si="14"/>
        <v>0</v>
      </c>
      <c r="M250" s="217"/>
    </row>
    <row r="251" spans="1:14" ht="15.75">
      <c r="A251" s="11">
        <f t="shared" si="9"/>
        <v>245</v>
      </c>
      <c r="B251" s="132" t="s">
        <v>1101</v>
      </c>
      <c r="C251" s="19"/>
      <c r="D251" s="19"/>
      <c r="E251" s="389" t="s">
        <v>1102</v>
      </c>
      <c r="F251" s="14">
        <v>52.5</v>
      </c>
      <c r="G251" s="238">
        <v>50</v>
      </c>
      <c r="H251" s="131">
        <v>2.5</v>
      </c>
      <c r="I251" s="14"/>
      <c r="J251" s="18">
        <f t="shared" si="12"/>
        <v>52.5</v>
      </c>
      <c r="K251" s="32"/>
      <c r="L251" s="33">
        <f t="shared" si="14"/>
        <v>0</v>
      </c>
      <c r="M251" s="217"/>
    </row>
    <row r="252" spans="1:14" ht="16.5" thickBot="1">
      <c r="A252" s="11">
        <f t="shared" si="9"/>
        <v>246</v>
      </c>
      <c r="B252" s="296" t="s">
        <v>1125</v>
      </c>
      <c r="C252" s="407"/>
      <c r="D252" s="407"/>
      <c r="E252" s="408" t="s">
        <v>1126</v>
      </c>
      <c r="F252" s="268">
        <v>5011.21</v>
      </c>
      <c r="G252" s="298">
        <v>4572.58</v>
      </c>
      <c r="H252" s="299">
        <v>238.63</v>
      </c>
      <c r="I252" s="268">
        <v>200</v>
      </c>
      <c r="J252" s="300">
        <f t="shared" si="12"/>
        <v>5011.21</v>
      </c>
      <c r="K252" s="82"/>
      <c r="L252" s="83">
        <f t="shared" si="14"/>
        <v>0</v>
      </c>
      <c r="M252" s="409"/>
    </row>
    <row r="253" spans="1:14" ht="16.5" thickBot="1">
      <c r="A253" s="349"/>
      <c r="B253" s="64"/>
      <c r="C253" s="64"/>
      <c r="D253" s="350"/>
      <c r="E253" s="364" t="s">
        <v>795</v>
      </c>
      <c r="F253" s="253">
        <f>SUM(F6:F252)</f>
        <v>36009.1</v>
      </c>
      <c r="G253" s="253">
        <f t="shared" ref="G253:L253" si="17">SUM(G6:G252)</f>
        <v>30855.85</v>
      </c>
      <c r="H253" s="253">
        <f t="shared" si="17"/>
        <v>1542.9500000000003</v>
      </c>
      <c r="I253" s="253">
        <f t="shared" si="17"/>
        <v>1970.4200000000003</v>
      </c>
      <c r="J253" s="253">
        <f t="shared" si="17"/>
        <v>34369.22</v>
      </c>
      <c r="K253" s="253">
        <f t="shared" si="17"/>
        <v>33.200000000000003</v>
      </c>
      <c r="L253" s="253">
        <f t="shared" si="17"/>
        <v>1606.6799999999996</v>
      </c>
      <c r="M253" s="219"/>
      <c r="N253" s="58"/>
    </row>
    <row r="254" spans="1:14" ht="16.5" thickBot="1">
      <c r="A254" s="66"/>
      <c r="B254" s="67"/>
      <c r="C254" s="198"/>
      <c r="D254" s="198"/>
      <c r="E254" s="67"/>
      <c r="F254" s="254"/>
      <c r="G254" s="68"/>
      <c r="H254" s="68"/>
      <c r="I254" s="254"/>
      <c r="J254" s="68"/>
      <c r="K254" s="68"/>
      <c r="L254" s="68"/>
      <c r="M254" s="220"/>
      <c r="N254" s="59" t="s">
        <v>525</v>
      </c>
    </row>
    <row r="255" spans="1:14" ht="16.5" thickBot="1">
      <c r="A255" s="150"/>
      <c r="B255" s="151" t="s">
        <v>796</v>
      </c>
      <c r="C255" s="151"/>
      <c r="D255" s="337"/>
      <c r="E255" s="365"/>
      <c r="F255" s="255"/>
      <c r="G255" s="239"/>
      <c r="H255" s="239"/>
      <c r="I255" s="255"/>
      <c r="J255" s="239"/>
      <c r="K255" s="239"/>
      <c r="L255" s="239"/>
      <c r="M255" s="240"/>
      <c r="N255" s="60" t="s">
        <v>79</v>
      </c>
    </row>
    <row r="256" spans="1:14" ht="15.75">
      <c r="A256" s="136">
        <v>1</v>
      </c>
      <c r="B256" s="19" t="s">
        <v>797</v>
      </c>
      <c r="C256" s="19" t="s">
        <v>1029</v>
      </c>
      <c r="D256" s="19">
        <v>101243</v>
      </c>
      <c r="E256" s="366" t="s">
        <v>294</v>
      </c>
      <c r="F256" s="14">
        <v>691.25</v>
      </c>
      <c r="G256" s="53">
        <v>325</v>
      </c>
      <c r="H256" s="54">
        <v>16.25</v>
      </c>
      <c r="I256" s="248">
        <v>350</v>
      </c>
      <c r="J256" s="18">
        <f>SUM(G256:I256)</f>
        <v>691.25</v>
      </c>
      <c r="K256" s="77"/>
      <c r="L256" s="33">
        <f t="shared" ref="L256:L313" si="18">+(F256-((SUM(J256+K256))))</f>
        <v>0</v>
      </c>
      <c r="M256" s="215"/>
      <c r="N256" s="40"/>
    </row>
    <row r="257" spans="1:14" ht="15.75">
      <c r="A257" s="136">
        <f>1+A256</f>
        <v>2</v>
      </c>
      <c r="B257" s="19" t="s">
        <v>798</v>
      </c>
      <c r="C257" s="19" t="s">
        <v>1029</v>
      </c>
      <c r="D257" s="19">
        <v>101013</v>
      </c>
      <c r="E257" s="366" t="s">
        <v>297</v>
      </c>
      <c r="F257" s="14">
        <v>210</v>
      </c>
      <c r="G257" s="53">
        <v>200</v>
      </c>
      <c r="H257" s="54">
        <v>10</v>
      </c>
      <c r="I257" s="248"/>
      <c r="J257" s="18">
        <f>SUM(G257:I257)</f>
        <v>210</v>
      </c>
      <c r="K257" s="77"/>
      <c r="L257" s="33">
        <f t="shared" si="18"/>
        <v>0</v>
      </c>
      <c r="M257" s="215"/>
      <c r="N257" s="40"/>
    </row>
    <row r="258" spans="1:14" ht="15.75">
      <c r="A258" s="136">
        <f t="shared" ref="A258:A314" si="19">1+A257</f>
        <v>3</v>
      </c>
      <c r="B258" s="116" t="s">
        <v>799</v>
      </c>
      <c r="C258" s="19" t="s">
        <v>1029</v>
      </c>
      <c r="D258" s="19">
        <v>101879</v>
      </c>
      <c r="E258" s="356" t="s">
        <v>800</v>
      </c>
      <c r="F258" s="14">
        <v>52.5</v>
      </c>
      <c r="G258" s="74">
        <v>50</v>
      </c>
      <c r="H258" s="54">
        <v>2.5</v>
      </c>
      <c r="I258" s="14"/>
      <c r="J258" s="18">
        <f t="shared" ref="J258:J263" si="20">SUM(G258:I258)</f>
        <v>52.5</v>
      </c>
      <c r="K258" s="32"/>
      <c r="L258" s="33">
        <f t="shared" si="18"/>
        <v>0</v>
      </c>
      <c r="M258" s="215"/>
      <c r="N258" s="40"/>
    </row>
    <row r="259" spans="1:14" ht="15.75">
      <c r="A259" s="136">
        <f t="shared" si="19"/>
        <v>4</v>
      </c>
      <c r="B259" s="19" t="s">
        <v>813</v>
      </c>
      <c r="C259" s="19" t="s">
        <v>1029</v>
      </c>
      <c r="D259" s="19">
        <v>101056</v>
      </c>
      <c r="E259" s="356" t="s">
        <v>101</v>
      </c>
      <c r="F259" s="14">
        <v>52.5</v>
      </c>
      <c r="G259" s="74">
        <v>50</v>
      </c>
      <c r="H259" s="75">
        <v>2.5</v>
      </c>
      <c r="I259" s="14"/>
      <c r="J259" s="18">
        <f t="shared" si="20"/>
        <v>52.5</v>
      </c>
      <c r="K259" s="32"/>
      <c r="L259" s="33">
        <f t="shared" si="18"/>
        <v>0</v>
      </c>
      <c r="M259" s="215"/>
      <c r="N259" s="40"/>
    </row>
    <row r="260" spans="1:14" ht="15.75">
      <c r="A260" s="136">
        <f t="shared" si="19"/>
        <v>5</v>
      </c>
      <c r="B260" s="19" t="s">
        <v>801</v>
      </c>
      <c r="C260" s="19" t="s">
        <v>1029</v>
      </c>
      <c r="D260" s="19">
        <v>101332</v>
      </c>
      <c r="E260" s="355" t="s">
        <v>82</v>
      </c>
      <c r="F260" s="14">
        <v>195.9</v>
      </c>
      <c r="G260" s="74">
        <v>160</v>
      </c>
      <c r="H260" s="75">
        <v>8.15</v>
      </c>
      <c r="I260" s="14"/>
      <c r="J260" s="18">
        <f t="shared" si="20"/>
        <v>168.15</v>
      </c>
      <c r="K260" s="32">
        <v>58.4</v>
      </c>
      <c r="L260" s="33">
        <f t="shared" si="18"/>
        <v>-30.650000000000006</v>
      </c>
      <c r="M260" s="215"/>
      <c r="N260" s="195"/>
    </row>
    <row r="261" spans="1:14" ht="15.75">
      <c r="A261" s="136">
        <f t="shared" si="19"/>
        <v>6</v>
      </c>
      <c r="B261" s="19" t="s">
        <v>802</v>
      </c>
      <c r="C261" s="19" t="s">
        <v>1029</v>
      </c>
      <c r="D261" s="19">
        <v>101844</v>
      </c>
      <c r="E261" s="355" t="s">
        <v>803</v>
      </c>
      <c r="F261" s="14">
        <v>52.5</v>
      </c>
      <c r="G261" s="74">
        <v>50</v>
      </c>
      <c r="H261" s="75">
        <v>2.5</v>
      </c>
      <c r="I261" s="14"/>
      <c r="J261" s="18">
        <f t="shared" si="20"/>
        <v>52.5</v>
      </c>
      <c r="K261" s="32"/>
      <c r="L261" s="33">
        <f t="shared" si="18"/>
        <v>0</v>
      </c>
      <c r="M261" s="215"/>
      <c r="N261" s="194"/>
    </row>
    <row r="262" spans="1:14" ht="15.75">
      <c r="A262" s="136">
        <f t="shared" si="19"/>
        <v>7</v>
      </c>
      <c r="B262" s="19" t="s">
        <v>804</v>
      </c>
      <c r="C262" s="19" t="s">
        <v>1029</v>
      </c>
      <c r="D262" s="19">
        <v>101036</v>
      </c>
      <c r="E262" s="355" t="s">
        <v>805</v>
      </c>
      <c r="F262" s="14">
        <v>105</v>
      </c>
      <c r="G262" s="53">
        <v>100</v>
      </c>
      <c r="H262" s="54">
        <v>5</v>
      </c>
      <c r="I262" s="248"/>
      <c r="J262" s="18">
        <f t="shared" si="20"/>
        <v>105</v>
      </c>
      <c r="K262" s="32"/>
      <c r="L262" s="33">
        <f t="shared" si="18"/>
        <v>0</v>
      </c>
      <c r="M262" s="215"/>
      <c r="N262" s="6" t="s">
        <v>539</v>
      </c>
    </row>
    <row r="263" spans="1:14" ht="15.75">
      <c r="A263" s="136">
        <f t="shared" si="19"/>
        <v>8</v>
      </c>
      <c r="B263" s="30" t="s">
        <v>806</v>
      </c>
      <c r="C263" s="19" t="s">
        <v>1029</v>
      </c>
      <c r="D263" s="19">
        <v>101727</v>
      </c>
      <c r="E263" s="315" t="s">
        <v>807</v>
      </c>
      <c r="F263" s="249">
        <v>222.08</v>
      </c>
      <c r="G263" s="74">
        <v>100</v>
      </c>
      <c r="H263" s="75">
        <v>5</v>
      </c>
      <c r="I263" s="249"/>
      <c r="J263" s="18">
        <f t="shared" si="20"/>
        <v>105</v>
      </c>
      <c r="K263" s="32"/>
      <c r="L263" s="33">
        <f t="shared" si="18"/>
        <v>117.08000000000001</v>
      </c>
      <c r="M263" s="215"/>
      <c r="N263" s="6" t="s">
        <v>542</v>
      </c>
    </row>
    <row r="264" spans="1:14" ht="15.75">
      <c r="A264" s="136">
        <f t="shared" si="19"/>
        <v>9</v>
      </c>
      <c r="B264" s="19" t="s">
        <v>808</v>
      </c>
      <c r="C264" s="19" t="s">
        <v>1029</v>
      </c>
      <c r="D264" s="19">
        <v>101709</v>
      </c>
      <c r="E264" s="355" t="s">
        <v>809</v>
      </c>
      <c r="F264" s="14">
        <v>128.72</v>
      </c>
      <c r="G264" s="74">
        <v>100</v>
      </c>
      <c r="H264" s="75">
        <v>5</v>
      </c>
      <c r="I264" s="14">
        <v>16.72</v>
      </c>
      <c r="J264" s="18">
        <f t="shared" ref="J264:J302" si="21">SUM(G264+H264+I264)</f>
        <v>121.72</v>
      </c>
      <c r="K264" s="32">
        <v>7</v>
      </c>
      <c r="L264" s="33">
        <f t="shared" si="18"/>
        <v>0</v>
      </c>
      <c r="M264" s="37"/>
      <c r="N264" s="40"/>
    </row>
    <row r="265" spans="1:14" ht="15.75">
      <c r="A265" s="136">
        <f t="shared" si="19"/>
        <v>10</v>
      </c>
      <c r="B265" s="19" t="s">
        <v>810</v>
      </c>
      <c r="C265" s="19" t="s">
        <v>1029</v>
      </c>
      <c r="D265" s="19">
        <v>101563</v>
      </c>
      <c r="E265" s="356" t="s">
        <v>811</v>
      </c>
      <c r="F265" s="14">
        <v>52.5</v>
      </c>
      <c r="G265" s="20">
        <v>50</v>
      </c>
      <c r="H265" s="21">
        <v>2.5</v>
      </c>
      <c r="I265" s="14"/>
      <c r="J265" s="18">
        <f t="shared" si="21"/>
        <v>52.5</v>
      </c>
      <c r="K265" s="32"/>
      <c r="L265" s="33">
        <f t="shared" si="18"/>
        <v>0</v>
      </c>
      <c r="M265" s="215"/>
      <c r="N265" s="40"/>
    </row>
    <row r="266" spans="1:14" ht="15.75">
      <c r="A266" s="136">
        <f t="shared" si="19"/>
        <v>11</v>
      </c>
      <c r="B266" s="28" t="s">
        <v>815</v>
      </c>
      <c r="C266" s="55" t="s">
        <v>1029</v>
      </c>
      <c r="D266" s="19">
        <v>101894</v>
      </c>
      <c r="E266" s="367" t="s">
        <v>816</v>
      </c>
      <c r="F266" s="14">
        <v>52.5</v>
      </c>
      <c r="G266" s="74">
        <v>50</v>
      </c>
      <c r="H266" s="241">
        <v>2.5</v>
      </c>
      <c r="I266" s="14"/>
      <c r="J266" s="18">
        <f>SUM(G266+H266+I266)</f>
        <v>52.5</v>
      </c>
      <c r="K266" s="32"/>
      <c r="L266" s="33">
        <f>+(F266-((SUM(J266+K266))))</f>
        <v>0</v>
      </c>
      <c r="M266" s="218"/>
      <c r="N266" s="40"/>
    </row>
    <row r="267" spans="1:14" ht="15.75">
      <c r="A267" s="136">
        <f t="shared" si="19"/>
        <v>12</v>
      </c>
      <c r="B267" s="19" t="s">
        <v>812</v>
      </c>
      <c r="C267" s="19" t="s">
        <v>1029</v>
      </c>
      <c r="D267" s="19">
        <v>101051</v>
      </c>
      <c r="E267" s="355" t="s">
        <v>91</v>
      </c>
      <c r="F267" s="14">
        <v>105</v>
      </c>
      <c r="G267" s="74">
        <v>100</v>
      </c>
      <c r="H267" s="75">
        <v>5</v>
      </c>
      <c r="I267" s="14"/>
      <c r="J267" s="18">
        <f t="shared" si="21"/>
        <v>105</v>
      </c>
      <c r="K267" s="32"/>
      <c r="L267" s="33">
        <f t="shared" si="18"/>
        <v>0</v>
      </c>
      <c r="M267" s="215"/>
      <c r="N267" s="6"/>
    </row>
    <row r="268" spans="1:14" ht="15.75">
      <c r="A268" s="136">
        <f t="shared" si="19"/>
        <v>13</v>
      </c>
      <c r="B268" s="19" t="s">
        <v>817</v>
      </c>
      <c r="C268" s="19" t="s">
        <v>1029</v>
      </c>
      <c r="D268" s="19">
        <v>101261</v>
      </c>
      <c r="E268" s="356" t="s">
        <v>99</v>
      </c>
      <c r="F268" s="14">
        <v>105</v>
      </c>
      <c r="G268" s="74">
        <v>100</v>
      </c>
      <c r="H268" s="75">
        <v>5</v>
      </c>
      <c r="I268" s="14"/>
      <c r="J268" s="18">
        <f>SUM(G268+H268+I268)</f>
        <v>105</v>
      </c>
      <c r="K268" s="32"/>
      <c r="L268" s="33">
        <f>+(F268-((SUM(J268+K268))))</f>
        <v>0</v>
      </c>
      <c r="M268" s="215"/>
      <c r="N268" s="40"/>
    </row>
    <row r="269" spans="1:14" ht="15.75">
      <c r="A269" s="136">
        <f t="shared" si="19"/>
        <v>14</v>
      </c>
      <c r="B269" s="30" t="s">
        <v>814</v>
      </c>
      <c r="C269" s="19" t="s">
        <v>1029</v>
      </c>
      <c r="D269" s="19">
        <v>101300</v>
      </c>
      <c r="E269" s="359" t="s">
        <v>115</v>
      </c>
      <c r="F269" s="249">
        <v>105</v>
      </c>
      <c r="G269" s="74">
        <v>100</v>
      </c>
      <c r="H269" s="75">
        <v>5</v>
      </c>
      <c r="I269" s="249"/>
      <c r="J269" s="25">
        <f t="shared" si="21"/>
        <v>105</v>
      </c>
      <c r="K269" s="35"/>
      <c r="L269" s="33">
        <f t="shared" si="18"/>
        <v>0</v>
      </c>
      <c r="M269" s="37"/>
      <c r="N269" s="195"/>
    </row>
    <row r="270" spans="1:14" ht="15.75">
      <c r="A270" s="136">
        <f t="shared" si="19"/>
        <v>15</v>
      </c>
      <c r="B270" s="19" t="s">
        <v>818</v>
      </c>
      <c r="C270" s="19" t="s">
        <v>1029</v>
      </c>
      <c r="D270" s="19">
        <v>101023</v>
      </c>
      <c r="E270" s="355" t="s">
        <v>819</v>
      </c>
      <c r="F270" s="14">
        <v>210</v>
      </c>
      <c r="G270" s="53">
        <v>200</v>
      </c>
      <c r="H270" s="54">
        <v>10</v>
      </c>
      <c r="I270" s="248"/>
      <c r="J270" s="25">
        <f t="shared" si="21"/>
        <v>210</v>
      </c>
      <c r="K270" s="32"/>
      <c r="L270" s="33">
        <f t="shared" si="18"/>
        <v>0</v>
      </c>
      <c r="M270" s="37"/>
      <c r="N270" s="6"/>
    </row>
    <row r="271" spans="1:14" ht="15.75">
      <c r="A271" s="136">
        <f t="shared" si="19"/>
        <v>16</v>
      </c>
      <c r="B271" s="30" t="s">
        <v>820</v>
      </c>
      <c r="C271" s="19" t="s">
        <v>1029</v>
      </c>
      <c r="D271" s="19">
        <v>101014</v>
      </c>
      <c r="E271" s="315" t="s">
        <v>821</v>
      </c>
      <c r="F271" s="249">
        <v>210</v>
      </c>
      <c r="G271" s="74">
        <v>200</v>
      </c>
      <c r="H271" s="75">
        <v>10</v>
      </c>
      <c r="I271" s="248"/>
      <c r="J271" s="25">
        <f t="shared" si="21"/>
        <v>210</v>
      </c>
      <c r="K271" s="76"/>
      <c r="L271" s="36">
        <f t="shared" si="18"/>
        <v>0</v>
      </c>
      <c r="M271" s="37"/>
      <c r="N271" s="194"/>
    </row>
    <row r="272" spans="1:14" ht="15.75">
      <c r="A272" s="136">
        <f t="shared" si="19"/>
        <v>17</v>
      </c>
      <c r="B272" s="19" t="s">
        <v>824</v>
      </c>
      <c r="C272" s="19" t="s">
        <v>1029</v>
      </c>
      <c r="D272" s="19">
        <v>101693</v>
      </c>
      <c r="E272" s="355" t="s">
        <v>1030</v>
      </c>
      <c r="F272" s="14">
        <v>105</v>
      </c>
      <c r="G272" s="53">
        <v>100</v>
      </c>
      <c r="H272" s="381">
        <v>5</v>
      </c>
      <c r="I272" s="248"/>
      <c r="J272" s="25">
        <f t="shared" si="21"/>
        <v>105</v>
      </c>
      <c r="K272" s="77"/>
      <c r="L272" s="33">
        <f t="shared" si="18"/>
        <v>0</v>
      </c>
      <c r="M272" s="215"/>
      <c r="N272" s="6" t="s">
        <v>557</v>
      </c>
    </row>
    <row r="273" spans="1:14" ht="15.75">
      <c r="A273" s="136">
        <f t="shared" si="19"/>
        <v>18</v>
      </c>
      <c r="B273" s="12" t="s">
        <v>826</v>
      </c>
      <c r="C273" s="19" t="s">
        <v>1029</v>
      </c>
      <c r="D273" s="19">
        <v>105482</v>
      </c>
      <c r="E273" s="379" t="s">
        <v>1042</v>
      </c>
      <c r="F273" s="14">
        <v>105</v>
      </c>
      <c r="G273" s="398">
        <v>100</v>
      </c>
      <c r="H273" s="241">
        <v>5</v>
      </c>
      <c r="I273" s="14"/>
      <c r="J273" s="25">
        <f t="shared" si="21"/>
        <v>105</v>
      </c>
      <c r="K273" s="32"/>
      <c r="L273" s="33">
        <f t="shared" si="18"/>
        <v>0</v>
      </c>
      <c r="M273" s="215"/>
      <c r="N273" s="6" t="s">
        <v>559</v>
      </c>
    </row>
    <row r="274" spans="1:14" ht="15.75">
      <c r="A274" s="136">
        <f t="shared" si="19"/>
        <v>19</v>
      </c>
      <c r="B274" s="30" t="s">
        <v>1103</v>
      </c>
      <c r="C274" s="19" t="s">
        <v>1029</v>
      </c>
      <c r="D274" s="19">
        <v>105482</v>
      </c>
      <c r="E274" s="379" t="s">
        <v>1104</v>
      </c>
      <c r="F274" s="14">
        <v>304.61</v>
      </c>
      <c r="G274" s="398">
        <v>100</v>
      </c>
      <c r="H274" s="241">
        <v>5</v>
      </c>
      <c r="I274" s="249"/>
      <c r="J274" s="18">
        <f>SUM(G274+H274+I274)</f>
        <v>105</v>
      </c>
      <c r="K274" s="35"/>
      <c r="L274" s="36">
        <f>+(F274-((SUM(J274+K274))))</f>
        <v>199.61</v>
      </c>
      <c r="M274" s="221"/>
      <c r="N274" s="40"/>
    </row>
    <row r="275" spans="1:14" ht="15.75">
      <c r="A275" s="136">
        <f t="shared" si="19"/>
        <v>20</v>
      </c>
      <c r="B275" s="145" t="s">
        <v>831</v>
      </c>
      <c r="C275" s="145" t="s">
        <v>1029</v>
      </c>
      <c r="D275" s="145">
        <v>101692</v>
      </c>
      <c r="E275" s="397" t="s">
        <v>210</v>
      </c>
      <c r="F275" s="14">
        <v>196.73</v>
      </c>
      <c r="G275" s="400">
        <v>100</v>
      </c>
      <c r="H275" s="405">
        <v>5</v>
      </c>
      <c r="I275" s="14"/>
      <c r="J275" s="25">
        <f t="shared" si="21"/>
        <v>105</v>
      </c>
      <c r="K275" s="32"/>
      <c r="L275" s="47">
        <f t="shared" si="18"/>
        <v>91.72999999999999</v>
      </c>
      <c r="M275" s="215"/>
    </row>
    <row r="276" spans="1:14" ht="15.75">
      <c r="A276" s="136">
        <f t="shared" si="19"/>
        <v>21</v>
      </c>
      <c r="B276" s="19" t="s">
        <v>832</v>
      </c>
      <c r="C276" s="19" t="s">
        <v>1029</v>
      </c>
      <c r="D276" s="19">
        <v>101719</v>
      </c>
      <c r="E276" s="377" t="s">
        <v>833</v>
      </c>
      <c r="F276" s="14">
        <v>131.25</v>
      </c>
      <c r="G276" s="398">
        <v>125</v>
      </c>
      <c r="H276" s="241">
        <v>6.25</v>
      </c>
      <c r="I276" s="14"/>
      <c r="J276" s="25">
        <f t="shared" si="21"/>
        <v>131.25</v>
      </c>
      <c r="K276" s="32"/>
      <c r="L276" s="33">
        <f t="shared" si="18"/>
        <v>0</v>
      </c>
      <c r="M276" s="215"/>
    </row>
    <row r="277" spans="1:14" ht="15.75">
      <c r="A277" s="136">
        <f t="shared" si="19"/>
        <v>22</v>
      </c>
      <c r="B277" s="19" t="s">
        <v>836</v>
      </c>
      <c r="C277" s="19" t="s">
        <v>1029</v>
      </c>
      <c r="D277" s="19">
        <v>101734</v>
      </c>
      <c r="E277" s="379" t="s">
        <v>381</v>
      </c>
      <c r="F277" s="14">
        <v>248.47</v>
      </c>
      <c r="G277" s="401">
        <v>100</v>
      </c>
      <c r="H277" s="383">
        <v>5</v>
      </c>
      <c r="I277" s="14">
        <v>143.47</v>
      </c>
      <c r="J277" s="25">
        <f t="shared" si="21"/>
        <v>248.47</v>
      </c>
      <c r="K277" s="32"/>
      <c r="L277" s="33">
        <f t="shared" si="18"/>
        <v>0</v>
      </c>
      <c r="M277" s="215"/>
      <c r="N277" s="6"/>
    </row>
    <row r="278" spans="1:14" ht="15.75">
      <c r="A278" s="136">
        <f t="shared" si="19"/>
        <v>23</v>
      </c>
      <c r="B278" s="132" t="s">
        <v>837</v>
      </c>
      <c r="C278" s="19" t="s">
        <v>1029</v>
      </c>
      <c r="D278" s="197">
        <v>101911</v>
      </c>
      <c r="E278" s="377" t="s">
        <v>838</v>
      </c>
      <c r="F278" s="14">
        <v>132.02000000000001</v>
      </c>
      <c r="G278" s="402">
        <v>100</v>
      </c>
      <c r="H278" s="406">
        <v>5</v>
      </c>
      <c r="I278" s="14"/>
      <c r="J278" s="25">
        <f t="shared" si="21"/>
        <v>105</v>
      </c>
      <c r="K278" s="32"/>
      <c r="L278" s="33">
        <f t="shared" si="18"/>
        <v>27.02000000000001</v>
      </c>
      <c r="M278" s="42"/>
      <c r="N278" s="6"/>
    </row>
    <row r="279" spans="1:14" ht="15.75">
      <c r="A279" s="136">
        <f t="shared" si="19"/>
        <v>24</v>
      </c>
      <c r="B279" s="19" t="s">
        <v>839</v>
      </c>
      <c r="C279" s="19" t="s">
        <v>1029</v>
      </c>
      <c r="D279" s="19">
        <v>101729</v>
      </c>
      <c r="E279" s="379" t="s">
        <v>840</v>
      </c>
      <c r="F279" s="14">
        <v>173.35</v>
      </c>
      <c r="G279" s="401">
        <v>100</v>
      </c>
      <c r="H279" s="383">
        <v>5</v>
      </c>
      <c r="I279" s="14"/>
      <c r="J279" s="25">
        <f t="shared" si="21"/>
        <v>105</v>
      </c>
      <c r="K279" s="32"/>
      <c r="L279" s="33">
        <f t="shared" si="18"/>
        <v>68.349999999999994</v>
      </c>
      <c r="M279" s="215"/>
      <c r="N279" s="6"/>
    </row>
    <row r="280" spans="1:14" ht="15.75">
      <c r="A280" s="136">
        <f t="shared" si="19"/>
        <v>25</v>
      </c>
      <c r="B280" s="19" t="s">
        <v>841</v>
      </c>
      <c r="C280" s="19" t="s">
        <v>1029</v>
      </c>
      <c r="D280" s="19">
        <v>101275</v>
      </c>
      <c r="E280" s="377" t="s">
        <v>842</v>
      </c>
      <c r="F280" s="14">
        <v>105</v>
      </c>
      <c r="G280" s="403">
        <v>100</v>
      </c>
      <c r="H280" s="381">
        <v>5</v>
      </c>
      <c r="I280" s="248"/>
      <c r="J280" s="25">
        <f t="shared" si="21"/>
        <v>105</v>
      </c>
      <c r="K280" s="61"/>
      <c r="L280" s="33">
        <f t="shared" si="18"/>
        <v>0</v>
      </c>
      <c r="M280" s="37"/>
      <c r="N280" s="6"/>
    </row>
    <row r="281" spans="1:14" ht="15.75">
      <c r="A281" s="136">
        <f t="shared" si="19"/>
        <v>26</v>
      </c>
      <c r="B281" s="132" t="s">
        <v>843</v>
      </c>
      <c r="C281" s="197" t="s">
        <v>1029</v>
      </c>
      <c r="D281" s="197">
        <v>105048</v>
      </c>
      <c r="E281" s="377" t="s">
        <v>844</v>
      </c>
      <c r="F281" s="14">
        <v>130.29</v>
      </c>
      <c r="G281" s="402">
        <v>50</v>
      </c>
      <c r="H281" s="406">
        <v>2.5</v>
      </c>
      <c r="I281" s="14"/>
      <c r="J281" s="25">
        <f t="shared" si="21"/>
        <v>52.5</v>
      </c>
      <c r="K281" s="32"/>
      <c r="L281" s="33">
        <f t="shared" si="18"/>
        <v>77.789999999999992</v>
      </c>
      <c r="M281" s="215"/>
      <c r="N281" s="6"/>
    </row>
    <row r="282" spans="1:14" ht="15.75">
      <c r="A282" s="136">
        <f t="shared" si="19"/>
        <v>27</v>
      </c>
      <c r="B282" s="19" t="s">
        <v>44</v>
      </c>
      <c r="C282" s="19" t="s">
        <v>1029</v>
      </c>
      <c r="D282" s="19">
        <v>101743</v>
      </c>
      <c r="E282" s="356" t="s">
        <v>845</v>
      </c>
      <c r="F282" s="14">
        <v>328.1</v>
      </c>
      <c r="G282" s="53">
        <v>100</v>
      </c>
      <c r="H282" s="381">
        <v>5</v>
      </c>
      <c r="I282" s="14">
        <v>223.1</v>
      </c>
      <c r="J282" s="25">
        <f t="shared" si="21"/>
        <v>328.1</v>
      </c>
      <c r="K282" s="32"/>
      <c r="L282" s="33">
        <f t="shared" si="18"/>
        <v>0</v>
      </c>
      <c r="M282" s="215"/>
      <c r="N282" s="6"/>
    </row>
    <row r="283" spans="1:14" ht="15.75">
      <c r="A283" s="136">
        <f t="shared" si="19"/>
        <v>28</v>
      </c>
      <c r="B283" s="19" t="s">
        <v>846</v>
      </c>
      <c r="C283" s="19" t="s">
        <v>1029</v>
      </c>
      <c r="D283" s="19">
        <v>101572</v>
      </c>
      <c r="E283" s="356" t="s">
        <v>335</v>
      </c>
      <c r="F283" s="14">
        <v>105</v>
      </c>
      <c r="G283" s="74">
        <v>100</v>
      </c>
      <c r="H283" s="241">
        <v>5</v>
      </c>
      <c r="I283" s="257"/>
      <c r="J283" s="25">
        <f t="shared" si="21"/>
        <v>105</v>
      </c>
      <c r="K283" s="32"/>
      <c r="L283" s="33">
        <f t="shared" si="18"/>
        <v>0</v>
      </c>
      <c r="M283" s="37"/>
      <c r="N283" s="6"/>
    </row>
    <row r="284" spans="1:14" ht="15.75">
      <c r="A284" s="136">
        <f t="shared" si="19"/>
        <v>29</v>
      </c>
      <c r="B284" s="30" t="s">
        <v>847</v>
      </c>
      <c r="C284" s="19" t="s">
        <v>1029</v>
      </c>
      <c r="D284" s="19">
        <v>101106</v>
      </c>
      <c r="E284" s="359" t="s">
        <v>337</v>
      </c>
      <c r="F284" s="249">
        <v>105</v>
      </c>
      <c r="G284" s="74">
        <v>100</v>
      </c>
      <c r="H284" s="241">
        <v>5</v>
      </c>
      <c r="I284" s="248"/>
      <c r="J284" s="25">
        <f t="shared" si="21"/>
        <v>105</v>
      </c>
      <c r="K284" s="35"/>
      <c r="L284" s="33">
        <f t="shared" si="18"/>
        <v>0</v>
      </c>
      <c r="M284" s="37"/>
      <c r="N284" s="6"/>
    </row>
    <row r="285" spans="1:14" ht="15.75">
      <c r="A285" s="136">
        <f t="shared" si="19"/>
        <v>30</v>
      </c>
      <c r="B285" s="19" t="s">
        <v>848</v>
      </c>
      <c r="C285" s="19" t="s">
        <v>1029</v>
      </c>
      <c r="D285" s="19">
        <v>101700</v>
      </c>
      <c r="E285" s="356" t="s">
        <v>339</v>
      </c>
      <c r="F285" s="14">
        <v>105</v>
      </c>
      <c r="G285" s="74">
        <v>100</v>
      </c>
      <c r="H285" s="241">
        <v>5</v>
      </c>
      <c r="I285" s="248"/>
      <c r="J285" s="25">
        <f t="shared" si="21"/>
        <v>105</v>
      </c>
      <c r="K285" s="32"/>
      <c r="L285" s="33">
        <f t="shared" si="18"/>
        <v>0</v>
      </c>
      <c r="M285" s="37"/>
      <c r="N285" s="40"/>
    </row>
    <row r="286" spans="1:14" ht="15.75">
      <c r="A286" s="136">
        <f t="shared" si="19"/>
        <v>31</v>
      </c>
      <c r="B286" s="19" t="s">
        <v>849</v>
      </c>
      <c r="C286" s="19" t="s">
        <v>1029</v>
      </c>
      <c r="D286" s="19">
        <v>101319</v>
      </c>
      <c r="E286" s="356" t="s">
        <v>113</v>
      </c>
      <c r="F286" s="14">
        <v>52.5</v>
      </c>
      <c r="G286" s="74">
        <v>50</v>
      </c>
      <c r="H286" s="241">
        <v>2.5</v>
      </c>
      <c r="I286" s="14"/>
      <c r="J286" s="25">
        <f t="shared" si="21"/>
        <v>52.5</v>
      </c>
      <c r="K286" s="32"/>
      <c r="L286" s="33">
        <f t="shared" si="18"/>
        <v>0</v>
      </c>
      <c r="M286" s="215"/>
      <c r="N286" s="6"/>
    </row>
    <row r="287" spans="1:14" ht="15.75">
      <c r="A287" s="136">
        <f t="shared" si="19"/>
        <v>32</v>
      </c>
      <c r="B287" s="19" t="s">
        <v>854</v>
      </c>
      <c r="C287" s="19" t="s">
        <v>1029</v>
      </c>
      <c r="D287" s="19">
        <v>101725</v>
      </c>
      <c r="E287" s="355" t="s">
        <v>855</v>
      </c>
      <c r="F287" s="14">
        <v>105</v>
      </c>
      <c r="G287" s="20">
        <v>100</v>
      </c>
      <c r="H287" s="383">
        <v>5</v>
      </c>
      <c r="I287" s="14"/>
      <c r="J287" s="25">
        <f t="shared" si="21"/>
        <v>105</v>
      </c>
      <c r="K287" s="32"/>
      <c r="L287" s="33">
        <f t="shared" si="18"/>
        <v>0</v>
      </c>
      <c r="M287" s="215"/>
      <c r="N287" s="6"/>
    </row>
    <row r="288" spans="1:14" ht="15.75">
      <c r="A288" s="136">
        <f t="shared" si="19"/>
        <v>33</v>
      </c>
      <c r="B288" s="19" t="s">
        <v>856</v>
      </c>
      <c r="C288" s="19" t="s">
        <v>1029</v>
      </c>
      <c r="D288" s="19">
        <v>101723</v>
      </c>
      <c r="E288" s="355" t="s">
        <v>857</v>
      </c>
      <c r="F288" s="14">
        <v>154.91999999999999</v>
      </c>
      <c r="G288" s="20">
        <v>100</v>
      </c>
      <c r="H288" s="383">
        <v>5</v>
      </c>
      <c r="I288" s="14"/>
      <c r="J288" s="25">
        <f t="shared" si="21"/>
        <v>105</v>
      </c>
      <c r="K288" s="32"/>
      <c r="L288" s="33">
        <f t="shared" si="18"/>
        <v>49.919999999999987</v>
      </c>
      <c r="M288" s="215"/>
      <c r="N288" s="40"/>
    </row>
    <row r="289" spans="1:14" ht="15.75">
      <c r="A289" s="136">
        <f t="shared" si="19"/>
        <v>34</v>
      </c>
      <c r="B289" s="19" t="s">
        <v>47</v>
      </c>
      <c r="C289" s="19" t="s">
        <v>1029</v>
      </c>
      <c r="D289" s="19">
        <v>101883</v>
      </c>
      <c r="E289" s="356" t="s">
        <v>859</v>
      </c>
      <c r="F289" s="14">
        <v>52.5</v>
      </c>
      <c r="G289" s="53">
        <v>50</v>
      </c>
      <c r="H289" s="381">
        <v>2.5</v>
      </c>
      <c r="I289" s="14"/>
      <c r="J289" s="25">
        <f t="shared" si="21"/>
        <v>52.5</v>
      </c>
      <c r="K289" s="32"/>
      <c r="L289" s="33">
        <f t="shared" si="18"/>
        <v>0</v>
      </c>
      <c r="M289" s="37"/>
      <c r="N289" s="6"/>
    </row>
    <row r="290" spans="1:14" ht="15.75">
      <c r="A290" s="136">
        <f t="shared" si="19"/>
        <v>35</v>
      </c>
      <c r="B290" s="19" t="s">
        <v>866</v>
      </c>
      <c r="C290" s="19" t="s">
        <v>1029</v>
      </c>
      <c r="D290" s="19">
        <v>101763</v>
      </c>
      <c r="E290" s="356" t="s">
        <v>867</v>
      </c>
      <c r="F290" s="14">
        <v>105</v>
      </c>
      <c r="G290" s="53">
        <v>100</v>
      </c>
      <c r="H290" s="381">
        <v>5</v>
      </c>
      <c r="I290" s="14"/>
      <c r="J290" s="25">
        <f t="shared" si="21"/>
        <v>105</v>
      </c>
      <c r="K290" s="32"/>
      <c r="L290" s="33">
        <f t="shared" si="18"/>
        <v>0</v>
      </c>
      <c r="M290" s="215"/>
      <c r="N290" s="6"/>
    </row>
    <row r="291" spans="1:14" ht="15.75">
      <c r="A291" s="136">
        <f t="shared" si="19"/>
        <v>36</v>
      </c>
      <c r="B291" s="19" t="s">
        <v>868</v>
      </c>
      <c r="C291" s="19" t="s">
        <v>1029</v>
      </c>
      <c r="D291" s="19">
        <v>101843</v>
      </c>
      <c r="E291" s="356" t="s">
        <v>869</v>
      </c>
      <c r="F291" s="14">
        <v>52.5</v>
      </c>
      <c r="G291" s="53">
        <v>50</v>
      </c>
      <c r="H291" s="381">
        <v>2.5</v>
      </c>
      <c r="I291" s="14"/>
      <c r="J291" s="25">
        <f t="shared" si="21"/>
        <v>52.5</v>
      </c>
      <c r="K291" s="32"/>
      <c r="L291" s="33">
        <f t="shared" si="18"/>
        <v>0</v>
      </c>
      <c r="M291" s="37"/>
      <c r="N291" s="40"/>
    </row>
    <row r="292" spans="1:14" ht="15.75">
      <c r="A292" s="136">
        <f t="shared" si="19"/>
        <v>37</v>
      </c>
      <c r="B292" s="19" t="s">
        <v>870</v>
      </c>
      <c r="C292" s="19" t="s">
        <v>1029</v>
      </c>
      <c r="D292" s="19">
        <v>101771</v>
      </c>
      <c r="E292" s="356" t="s">
        <v>871</v>
      </c>
      <c r="F292" s="14">
        <v>105</v>
      </c>
      <c r="G292" s="53">
        <v>100</v>
      </c>
      <c r="H292" s="381">
        <v>5</v>
      </c>
      <c r="I292" s="14"/>
      <c r="J292" s="25">
        <f t="shared" si="21"/>
        <v>105</v>
      </c>
      <c r="K292" s="32"/>
      <c r="L292" s="33">
        <f t="shared" si="18"/>
        <v>0</v>
      </c>
      <c r="M292" s="215"/>
      <c r="N292" s="40"/>
    </row>
    <row r="293" spans="1:14" ht="15.75">
      <c r="A293" s="136">
        <f t="shared" si="19"/>
        <v>38</v>
      </c>
      <c r="B293" s="19" t="s">
        <v>872</v>
      </c>
      <c r="C293" s="19" t="s">
        <v>1029</v>
      </c>
      <c r="D293" s="19">
        <v>101772</v>
      </c>
      <c r="E293" s="356" t="s">
        <v>873</v>
      </c>
      <c r="F293" s="14">
        <v>105</v>
      </c>
      <c r="G293" s="53">
        <v>100</v>
      </c>
      <c r="H293" s="381">
        <v>5</v>
      </c>
      <c r="I293" s="14"/>
      <c r="J293" s="25">
        <f t="shared" si="21"/>
        <v>105</v>
      </c>
      <c r="K293" s="32"/>
      <c r="L293" s="33">
        <f t="shared" si="18"/>
        <v>0</v>
      </c>
      <c r="M293" s="215"/>
      <c r="N293" s="40"/>
    </row>
    <row r="294" spans="1:14" ht="15.75">
      <c r="A294" s="136">
        <f t="shared" si="19"/>
        <v>39</v>
      </c>
      <c r="B294" s="19" t="s">
        <v>874</v>
      </c>
      <c r="C294" s="19" t="s">
        <v>1029</v>
      </c>
      <c r="D294" s="19">
        <v>101817</v>
      </c>
      <c r="E294" s="354" t="s">
        <v>875</v>
      </c>
      <c r="F294" s="14">
        <v>52.5</v>
      </c>
      <c r="G294" s="53">
        <v>50</v>
      </c>
      <c r="H294" s="381">
        <v>2.5</v>
      </c>
      <c r="I294" s="14"/>
      <c r="J294" s="25">
        <f t="shared" si="21"/>
        <v>52.5</v>
      </c>
      <c r="K294" s="32"/>
      <c r="L294" s="33">
        <f t="shared" si="18"/>
        <v>0</v>
      </c>
      <c r="M294" s="37"/>
      <c r="N294" s="58"/>
    </row>
    <row r="295" spans="1:14" ht="15.75">
      <c r="A295" s="136">
        <f t="shared" si="19"/>
        <v>40</v>
      </c>
      <c r="B295" s="132" t="s">
        <v>708</v>
      </c>
      <c r="C295" s="197" t="s">
        <v>1029</v>
      </c>
      <c r="D295" s="197">
        <v>105098</v>
      </c>
      <c r="E295" s="356" t="s">
        <v>709</v>
      </c>
      <c r="F295" s="14">
        <v>52.5</v>
      </c>
      <c r="G295" s="238">
        <v>50</v>
      </c>
      <c r="H295" s="131">
        <v>2.5</v>
      </c>
      <c r="I295" s="14"/>
      <c r="J295" s="18">
        <f>SUM(G295+H295+I295)</f>
        <v>52.5</v>
      </c>
      <c r="K295" s="32"/>
      <c r="L295" s="33">
        <f>+(F295-((SUM(J295+K295))))</f>
        <v>0</v>
      </c>
      <c r="M295" s="215"/>
      <c r="N295" s="59" t="s">
        <v>525</v>
      </c>
    </row>
    <row r="296" spans="1:14" ht="15.75">
      <c r="A296" s="136">
        <f t="shared" si="19"/>
        <v>41</v>
      </c>
      <c r="B296" s="19" t="s">
        <v>876</v>
      </c>
      <c r="C296" s="19" t="s">
        <v>1029</v>
      </c>
      <c r="D296" s="19">
        <v>101816</v>
      </c>
      <c r="E296" s="356" t="s">
        <v>877</v>
      </c>
      <c r="F296" s="14">
        <v>105</v>
      </c>
      <c r="G296" s="74">
        <v>100</v>
      </c>
      <c r="H296" s="54">
        <v>5</v>
      </c>
      <c r="I296" s="14"/>
      <c r="J296" s="25">
        <f t="shared" si="21"/>
        <v>105</v>
      </c>
      <c r="K296" s="32"/>
      <c r="L296" s="33">
        <f t="shared" si="18"/>
        <v>0</v>
      </c>
      <c r="M296" s="215"/>
      <c r="N296" s="60" t="s">
        <v>79</v>
      </c>
    </row>
    <row r="297" spans="1:14" ht="15.75">
      <c r="A297" s="136">
        <f t="shared" si="19"/>
        <v>42</v>
      </c>
      <c r="B297" s="19" t="s">
        <v>882</v>
      </c>
      <c r="C297" s="19" t="s">
        <v>1029</v>
      </c>
      <c r="D297" s="19">
        <v>101829</v>
      </c>
      <c r="E297" s="356" t="s">
        <v>1032</v>
      </c>
      <c r="F297" s="14">
        <v>52.5</v>
      </c>
      <c r="G297" s="74">
        <v>50</v>
      </c>
      <c r="H297" s="54">
        <v>2.5</v>
      </c>
      <c r="I297" s="14"/>
      <c r="J297" s="25">
        <f t="shared" si="21"/>
        <v>52.5</v>
      </c>
      <c r="K297" s="32"/>
      <c r="L297" s="33">
        <f t="shared" si="18"/>
        <v>0</v>
      </c>
      <c r="M297" s="215"/>
      <c r="N297" s="40"/>
    </row>
    <row r="298" spans="1:14" ht="15.75">
      <c r="A298" s="136">
        <f t="shared" si="19"/>
        <v>43</v>
      </c>
      <c r="B298" s="116" t="s">
        <v>892</v>
      </c>
      <c r="C298" s="19" t="s">
        <v>1029</v>
      </c>
      <c r="D298" s="19">
        <v>101856</v>
      </c>
      <c r="E298" s="356" t="s">
        <v>893</v>
      </c>
      <c r="F298" s="14">
        <v>52.5</v>
      </c>
      <c r="G298" s="74">
        <v>50</v>
      </c>
      <c r="H298" s="54">
        <v>2.5</v>
      </c>
      <c r="I298" s="14"/>
      <c r="J298" s="25">
        <f t="shared" si="21"/>
        <v>52.5</v>
      </c>
      <c r="K298" s="32"/>
      <c r="L298" s="33">
        <f t="shared" si="18"/>
        <v>0</v>
      </c>
      <c r="M298" s="215"/>
      <c r="N298" s="40"/>
    </row>
    <row r="299" spans="1:14" ht="15.75">
      <c r="A299" s="136">
        <f>1+A54</f>
        <v>45</v>
      </c>
      <c r="B299" s="116" t="s">
        <v>896</v>
      </c>
      <c r="C299" s="19" t="s">
        <v>1029</v>
      </c>
      <c r="D299" s="19">
        <v>101877</v>
      </c>
      <c r="E299" s="356" t="s">
        <v>1033</v>
      </c>
      <c r="F299" s="14">
        <v>52.5</v>
      </c>
      <c r="G299" s="74">
        <v>50</v>
      </c>
      <c r="H299" s="54">
        <v>2.5</v>
      </c>
      <c r="I299" s="14"/>
      <c r="J299" s="25">
        <f t="shared" si="21"/>
        <v>52.5</v>
      </c>
      <c r="K299" s="32"/>
      <c r="L299" s="33">
        <f t="shared" si="18"/>
        <v>0</v>
      </c>
      <c r="M299" s="215"/>
      <c r="N299" s="40"/>
    </row>
    <row r="300" spans="1:14" ht="15.75">
      <c r="A300" s="136">
        <f t="shared" si="19"/>
        <v>46</v>
      </c>
      <c r="B300" s="19" t="s">
        <v>906</v>
      </c>
      <c r="C300" s="19" t="s">
        <v>1029</v>
      </c>
      <c r="D300" s="19">
        <v>101898</v>
      </c>
      <c r="E300" s="356" t="s">
        <v>907</v>
      </c>
      <c r="F300" s="14">
        <v>84</v>
      </c>
      <c r="G300" s="74">
        <v>50</v>
      </c>
      <c r="H300" s="54">
        <v>2.5</v>
      </c>
      <c r="I300" s="14"/>
      <c r="J300" s="25">
        <f t="shared" si="21"/>
        <v>52.5</v>
      </c>
      <c r="K300" s="162"/>
      <c r="L300" s="33">
        <f t="shared" si="18"/>
        <v>31.5</v>
      </c>
      <c r="M300" s="215" t="s">
        <v>947</v>
      </c>
      <c r="N300" s="195"/>
    </row>
    <row r="301" spans="1:14" ht="15.75">
      <c r="A301" s="136">
        <f t="shared" si="19"/>
        <v>47</v>
      </c>
      <c r="B301" s="19" t="s">
        <v>910</v>
      </c>
      <c r="C301" s="19" t="s">
        <v>1029</v>
      </c>
      <c r="D301" s="19">
        <v>101892</v>
      </c>
      <c r="E301" s="356" t="s">
        <v>911</v>
      </c>
      <c r="F301" s="14">
        <v>105</v>
      </c>
      <c r="G301" s="74">
        <v>100</v>
      </c>
      <c r="H301" s="54">
        <v>5</v>
      </c>
      <c r="I301" s="14"/>
      <c r="J301" s="25">
        <f t="shared" si="21"/>
        <v>105</v>
      </c>
      <c r="K301" s="32"/>
      <c r="L301" s="33">
        <f t="shared" si="18"/>
        <v>0</v>
      </c>
      <c r="M301" s="215"/>
      <c r="N301" s="194"/>
    </row>
    <row r="302" spans="1:14" ht="15.75">
      <c r="A302" s="136">
        <f t="shared" si="19"/>
        <v>48</v>
      </c>
      <c r="B302" s="19" t="s">
        <v>912</v>
      </c>
      <c r="C302" s="19" t="s">
        <v>1029</v>
      </c>
      <c r="D302" s="19">
        <v>101889</v>
      </c>
      <c r="E302" s="356" t="s">
        <v>913</v>
      </c>
      <c r="F302" s="14">
        <v>52.5</v>
      </c>
      <c r="G302" s="74">
        <v>50</v>
      </c>
      <c r="H302" s="54">
        <v>2.5</v>
      </c>
      <c r="I302" s="14"/>
      <c r="J302" s="25">
        <f t="shared" si="21"/>
        <v>52.5</v>
      </c>
      <c r="K302" s="32"/>
      <c r="L302" s="33">
        <f t="shared" si="18"/>
        <v>0</v>
      </c>
      <c r="M302" s="215"/>
      <c r="N302" s="6" t="s">
        <v>539</v>
      </c>
    </row>
    <row r="303" spans="1:14" ht="15.75">
      <c r="A303" s="136">
        <f t="shared" si="19"/>
        <v>49</v>
      </c>
      <c r="B303" s="19" t="s">
        <v>916</v>
      </c>
      <c r="C303" s="19" t="s">
        <v>1029</v>
      </c>
      <c r="D303" s="19">
        <v>101884</v>
      </c>
      <c r="E303" s="356" t="s">
        <v>917</v>
      </c>
      <c r="F303" s="14">
        <v>52.5</v>
      </c>
      <c r="G303" s="74">
        <v>50</v>
      </c>
      <c r="H303" s="54">
        <v>2.5</v>
      </c>
      <c r="I303" s="14"/>
      <c r="J303" s="25">
        <f>SUM(G303+H303+I303)</f>
        <v>52.5</v>
      </c>
      <c r="K303" s="32"/>
      <c r="L303" s="33">
        <f t="shared" si="18"/>
        <v>0</v>
      </c>
      <c r="M303" s="215"/>
      <c r="N303" s="6" t="s">
        <v>542</v>
      </c>
    </row>
    <row r="304" spans="1:14" ht="15.75">
      <c r="A304" s="136">
        <f t="shared" si="19"/>
        <v>50</v>
      </c>
      <c r="B304" s="132" t="s">
        <v>631</v>
      </c>
      <c r="C304" s="197" t="s">
        <v>1029</v>
      </c>
      <c r="D304" s="197">
        <v>105115</v>
      </c>
      <c r="E304" s="356" t="s">
        <v>632</v>
      </c>
      <c r="F304" s="14">
        <v>52.5</v>
      </c>
      <c r="G304" s="238">
        <v>50</v>
      </c>
      <c r="H304" s="131">
        <v>2.5</v>
      </c>
      <c r="I304" s="14"/>
      <c r="J304" s="18">
        <f>SUM(G304+H304+I304)</f>
        <v>52.5</v>
      </c>
      <c r="K304" s="32"/>
      <c r="L304" s="33">
        <f t="shared" si="18"/>
        <v>0</v>
      </c>
      <c r="M304" s="215"/>
      <c r="N304" s="40"/>
    </row>
    <row r="305" spans="1:14" ht="15.75">
      <c r="A305" s="136">
        <f t="shared" si="19"/>
        <v>51</v>
      </c>
      <c r="B305" s="132" t="s">
        <v>922</v>
      </c>
      <c r="C305" s="197" t="s">
        <v>1029</v>
      </c>
      <c r="D305" s="197">
        <v>105105</v>
      </c>
      <c r="E305" s="356" t="s">
        <v>1034</v>
      </c>
      <c r="F305" s="14">
        <v>52.5</v>
      </c>
      <c r="G305" s="238">
        <v>50</v>
      </c>
      <c r="H305" s="131">
        <v>2.5</v>
      </c>
      <c r="I305" s="14"/>
      <c r="J305" s="18">
        <f>SUM(G305+H305+I305)</f>
        <v>52.5</v>
      </c>
      <c r="K305" s="32"/>
      <c r="L305" s="33">
        <f t="shared" si="18"/>
        <v>0</v>
      </c>
      <c r="M305" s="215"/>
      <c r="N305" s="40"/>
    </row>
    <row r="306" spans="1:14" ht="15.75">
      <c r="A306" s="136">
        <f t="shared" si="19"/>
        <v>52</v>
      </c>
      <c r="B306" s="301" t="s">
        <v>1052</v>
      </c>
      <c r="C306" s="197" t="s">
        <v>1029</v>
      </c>
      <c r="D306" s="19">
        <v>101041</v>
      </c>
      <c r="E306" s="316" t="s">
        <v>1024</v>
      </c>
      <c r="F306" s="14">
        <v>52.5</v>
      </c>
      <c r="G306" s="238">
        <v>50</v>
      </c>
      <c r="H306" s="131">
        <v>2.5</v>
      </c>
      <c r="I306" s="14"/>
      <c r="J306" s="18">
        <f t="shared" ref="J306" si="22">SUM(G306+H306+I306)</f>
        <v>52.5</v>
      </c>
      <c r="K306" s="32"/>
      <c r="L306" s="33">
        <f t="shared" si="18"/>
        <v>0</v>
      </c>
      <c r="M306" s="215"/>
      <c r="N306" s="40"/>
    </row>
    <row r="307" spans="1:14" ht="15.75">
      <c r="A307" s="136">
        <f t="shared" si="19"/>
        <v>53</v>
      </c>
      <c r="B307" s="301" t="s">
        <v>1060</v>
      </c>
      <c r="C307" s="197" t="s">
        <v>1029</v>
      </c>
      <c r="D307" s="197">
        <v>105581</v>
      </c>
      <c r="E307" s="356" t="s">
        <v>1061</v>
      </c>
      <c r="F307" s="14">
        <v>164.4</v>
      </c>
      <c r="G307" s="238">
        <v>100</v>
      </c>
      <c r="H307" s="131">
        <v>5</v>
      </c>
      <c r="I307" s="14"/>
      <c r="J307" s="18">
        <f>SUM(G307+H307+I307)</f>
        <v>105</v>
      </c>
      <c r="K307" s="32"/>
      <c r="L307" s="33">
        <f>+(F307-((SUM(J307+K307))))</f>
        <v>59.400000000000006</v>
      </c>
      <c r="M307" s="215"/>
      <c r="N307" s="6"/>
    </row>
    <row r="308" spans="1:14" ht="15.75">
      <c r="A308" s="136">
        <f t="shared" si="19"/>
        <v>54</v>
      </c>
      <c r="B308" s="301" t="s">
        <v>1062</v>
      </c>
      <c r="C308" s="197" t="s">
        <v>1029</v>
      </c>
      <c r="D308" s="197">
        <v>105580</v>
      </c>
      <c r="E308" s="356" t="s">
        <v>1063</v>
      </c>
      <c r="F308" s="14">
        <v>105</v>
      </c>
      <c r="G308" s="238">
        <v>100</v>
      </c>
      <c r="H308" s="131">
        <v>5</v>
      </c>
      <c r="I308" s="14"/>
      <c r="J308" s="18">
        <f>SUM(G308+H308+I308)</f>
        <v>105</v>
      </c>
      <c r="K308" s="32"/>
      <c r="L308" s="33">
        <f>+(F308-((SUM(J308+K308))))</f>
        <v>0</v>
      </c>
      <c r="M308" s="215"/>
      <c r="N308" s="40"/>
    </row>
    <row r="309" spans="1:14" ht="15.75">
      <c r="A309" s="136">
        <f t="shared" si="19"/>
        <v>55</v>
      </c>
      <c r="B309" s="301" t="s">
        <v>1064</v>
      </c>
      <c r="C309" s="197"/>
      <c r="D309" s="197"/>
      <c r="E309" s="412" t="s">
        <v>1065</v>
      </c>
      <c r="F309" s="14">
        <v>202.65</v>
      </c>
      <c r="G309" s="238">
        <v>100</v>
      </c>
      <c r="H309" s="131">
        <v>5</v>
      </c>
      <c r="I309" s="14"/>
      <c r="J309" s="18">
        <f t="shared" ref="J309" si="23">SUM(G309+H309+I309)</f>
        <v>105</v>
      </c>
      <c r="K309" s="32"/>
      <c r="L309" s="33">
        <f t="shared" si="18"/>
        <v>97.65</v>
      </c>
      <c r="M309" s="215"/>
      <c r="N309" s="195"/>
    </row>
    <row r="310" spans="1:14" ht="15.75">
      <c r="A310" s="136">
        <f t="shared" si="19"/>
        <v>56</v>
      </c>
      <c r="B310" s="301" t="s">
        <v>595</v>
      </c>
      <c r="C310" s="197"/>
      <c r="D310" s="197"/>
      <c r="E310" s="356" t="s">
        <v>1066</v>
      </c>
      <c r="F310" s="14">
        <v>3.46</v>
      </c>
      <c r="G310" s="238">
        <v>3.3</v>
      </c>
      <c r="H310" s="131">
        <v>0.16</v>
      </c>
      <c r="I310" s="14"/>
      <c r="J310" s="18">
        <f>SUM(G310+H310+I310)</f>
        <v>3.46</v>
      </c>
      <c r="K310" s="32"/>
      <c r="L310" s="33">
        <f>+(F310-((SUM(J310+K310))))</f>
        <v>0</v>
      </c>
      <c r="M310" s="215"/>
      <c r="N310" s="6"/>
    </row>
    <row r="311" spans="1:14" ht="15.75">
      <c r="A311" s="136">
        <f t="shared" si="19"/>
        <v>57</v>
      </c>
      <c r="B311" s="116" t="s">
        <v>884</v>
      </c>
      <c r="C311" s="19"/>
      <c r="D311" s="19"/>
      <c r="E311" s="356" t="s">
        <v>885</v>
      </c>
      <c r="F311" s="14">
        <v>313.95</v>
      </c>
      <c r="G311" s="74">
        <v>299</v>
      </c>
      <c r="H311" s="54">
        <v>14.95</v>
      </c>
      <c r="I311" s="14"/>
      <c r="J311" s="25">
        <f>SUM(G311+H311+I311)</f>
        <v>313.95</v>
      </c>
      <c r="K311" s="32"/>
      <c r="L311" s="33">
        <f>+(F311-((SUM(J311+K311))))</f>
        <v>0</v>
      </c>
      <c r="M311" s="215"/>
      <c r="N311" s="6" t="s">
        <v>559</v>
      </c>
    </row>
    <row r="312" spans="1:14" ht="15.75">
      <c r="A312" s="136">
        <f t="shared" si="19"/>
        <v>58</v>
      </c>
      <c r="B312" s="116" t="s">
        <v>886</v>
      </c>
      <c r="C312" s="19"/>
      <c r="D312" s="19"/>
      <c r="E312" s="356" t="s">
        <v>887</v>
      </c>
      <c r="F312" s="14">
        <v>210</v>
      </c>
      <c r="G312" s="74">
        <v>200</v>
      </c>
      <c r="H312" s="54">
        <v>10</v>
      </c>
      <c r="I312" s="14"/>
      <c r="J312" s="25">
        <f>SUM(G312+H312+I312)</f>
        <v>210</v>
      </c>
      <c r="K312" s="179"/>
      <c r="L312" s="33">
        <f>+(F312-((SUM(J312+K312))))</f>
        <v>0</v>
      </c>
      <c r="M312" s="217"/>
      <c r="N312" s="6"/>
    </row>
    <row r="313" spans="1:14" ht="15.75">
      <c r="A313" s="136">
        <f t="shared" si="19"/>
        <v>59</v>
      </c>
      <c r="B313" s="132" t="s">
        <v>1106</v>
      </c>
      <c r="C313" s="19"/>
      <c r="D313" s="19"/>
      <c r="E313" s="356" t="s">
        <v>1107</v>
      </c>
      <c r="F313" s="14">
        <v>3850.29</v>
      </c>
      <c r="G313" s="238">
        <v>3516.94</v>
      </c>
      <c r="H313" s="131">
        <v>183.35</v>
      </c>
      <c r="I313" s="14">
        <v>150</v>
      </c>
      <c r="J313" s="18">
        <f>SUM(G313+H313+I313)</f>
        <v>3850.29</v>
      </c>
      <c r="K313" s="32"/>
      <c r="L313" s="33">
        <f t="shared" si="18"/>
        <v>0</v>
      </c>
      <c r="M313" s="217"/>
    </row>
    <row r="314" spans="1:14" ht="16.5" thickBot="1">
      <c r="A314" s="136">
        <f t="shared" si="19"/>
        <v>60</v>
      </c>
      <c r="B314" s="19" t="s">
        <v>926</v>
      </c>
      <c r="C314" s="19"/>
      <c r="D314" s="19">
        <v>105611</v>
      </c>
      <c r="E314" s="356" t="s">
        <v>1108</v>
      </c>
      <c r="F314" s="14">
        <v>52.5</v>
      </c>
      <c r="G314" s="53">
        <v>50</v>
      </c>
      <c r="H314" s="54">
        <v>2.5</v>
      </c>
      <c r="I314" s="14"/>
      <c r="J314" s="18">
        <f>SUM(G314+H314+I314)</f>
        <v>52.5</v>
      </c>
      <c r="K314" s="32"/>
      <c r="L314" s="33">
        <f>+(F314-((SUM(J314+K314))))</f>
        <v>0</v>
      </c>
      <c r="M314" s="215"/>
      <c r="N314" s="6"/>
    </row>
    <row r="315" spans="1:14" ht="16.5" thickBot="1">
      <c r="A315" s="142"/>
      <c r="B315" s="143"/>
      <c r="C315" s="143"/>
      <c r="D315" s="338"/>
      <c r="E315" s="143"/>
      <c r="F315" s="253">
        <f t="shared" ref="F315:L315" si="24">SUM(F256:F314)</f>
        <v>11278.939999999999</v>
      </c>
      <c r="G315" s="253">
        <f t="shared" si="24"/>
        <v>9079.24</v>
      </c>
      <c r="H315" s="253">
        <f t="shared" si="24"/>
        <v>461.61</v>
      </c>
      <c r="I315" s="253">
        <f t="shared" si="24"/>
        <v>883.29000000000008</v>
      </c>
      <c r="J315" s="253">
        <f t="shared" si="24"/>
        <v>10424.14</v>
      </c>
      <c r="K315" s="253">
        <f t="shared" si="24"/>
        <v>65.400000000000006</v>
      </c>
      <c r="L315" s="253">
        <f t="shared" si="24"/>
        <v>789.39999999999986</v>
      </c>
      <c r="M315" s="219"/>
    </row>
    <row r="316" spans="1:14" ht="16.5" thickBot="1">
      <c r="A316" s="289"/>
      <c r="B316" s="290" t="s">
        <v>398</v>
      </c>
      <c r="C316" s="291"/>
      <c r="D316" s="339"/>
      <c r="E316" s="326"/>
      <c r="F316" s="293"/>
      <c r="G316" s="292"/>
      <c r="H316" s="292"/>
      <c r="I316" s="292"/>
      <c r="J316" s="292"/>
      <c r="K316" s="292"/>
      <c r="L316" s="292"/>
      <c r="M316" s="294"/>
      <c r="N316" s="6"/>
    </row>
    <row r="317" spans="1:14" ht="15.75">
      <c r="A317" s="285">
        <v>1</v>
      </c>
      <c r="B317" s="145" t="s">
        <v>924</v>
      </c>
      <c r="C317" s="145" t="s">
        <v>398</v>
      </c>
      <c r="D317" s="145">
        <v>101766</v>
      </c>
      <c r="E317" s="370" t="s">
        <v>925</v>
      </c>
      <c r="F317" s="256">
        <v>210</v>
      </c>
      <c r="G317" s="287">
        <v>200</v>
      </c>
      <c r="H317" s="288">
        <v>10</v>
      </c>
      <c r="I317" s="256"/>
      <c r="J317" s="46">
        <f t="shared" ref="J317:J321" si="25">SUM(G317+H317+I317)</f>
        <v>210</v>
      </c>
      <c r="K317" s="146"/>
      <c r="L317" s="47">
        <f t="shared" ref="L317:L321" si="26">+(F317-((SUM(J317+K317))))</f>
        <v>0</v>
      </c>
      <c r="M317" s="221"/>
      <c r="N317" s="6"/>
    </row>
    <row r="318" spans="1:14" ht="15.75">
      <c r="A318" s="11">
        <v>2</v>
      </c>
      <c r="B318" s="19" t="s">
        <v>399</v>
      </c>
      <c r="C318" s="145" t="s">
        <v>398</v>
      </c>
      <c r="D318" s="19">
        <v>101514</v>
      </c>
      <c r="E318" s="356" t="s">
        <v>400</v>
      </c>
      <c r="F318" s="14">
        <v>52.5</v>
      </c>
      <c r="G318" s="74">
        <v>50</v>
      </c>
      <c r="H318" s="75">
        <v>2.5</v>
      </c>
      <c r="I318" s="14"/>
      <c r="J318" s="18">
        <f t="shared" si="25"/>
        <v>52.5</v>
      </c>
      <c r="K318" s="32"/>
      <c r="L318" s="33">
        <f t="shared" si="26"/>
        <v>0</v>
      </c>
      <c r="M318" s="37"/>
      <c r="N318" s="6"/>
    </row>
    <row r="319" spans="1:14" ht="15.75">
      <c r="A319" s="11">
        <f t="shared" ref="A319:A326" si="27">1+A318</f>
        <v>3</v>
      </c>
      <c r="B319" s="19" t="s">
        <v>411</v>
      </c>
      <c r="C319" s="145" t="s">
        <v>398</v>
      </c>
      <c r="D319" s="19">
        <v>101384</v>
      </c>
      <c r="E319" s="356" t="s">
        <v>412</v>
      </c>
      <c r="F319" s="14">
        <v>52.5</v>
      </c>
      <c r="G319" s="74">
        <v>50</v>
      </c>
      <c r="H319" s="75">
        <v>2.5</v>
      </c>
      <c r="I319" s="14"/>
      <c r="J319" s="18">
        <f t="shared" si="25"/>
        <v>52.5</v>
      </c>
      <c r="K319" s="32"/>
      <c r="L319" s="33">
        <f t="shared" si="26"/>
        <v>0</v>
      </c>
      <c r="M319" s="215"/>
      <c r="N319" s="6"/>
    </row>
    <row r="320" spans="1:14" ht="15.75">
      <c r="A320" s="11">
        <f t="shared" si="27"/>
        <v>4</v>
      </c>
      <c r="B320" s="19" t="s">
        <v>931</v>
      </c>
      <c r="C320" s="145" t="s">
        <v>398</v>
      </c>
      <c r="D320" s="19">
        <v>101350</v>
      </c>
      <c r="E320" s="356" t="s">
        <v>932</v>
      </c>
      <c r="F320" s="14">
        <v>52.5</v>
      </c>
      <c r="G320" s="20">
        <v>50</v>
      </c>
      <c r="H320" s="21">
        <v>2.5</v>
      </c>
      <c r="I320" s="14"/>
      <c r="J320" s="18">
        <f t="shared" si="25"/>
        <v>52.5</v>
      </c>
      <c r="K320" s="32"/>
      <c r="L320" s="33">
        <f t="shared" si="26"/>
        <v>0</v>
      </c>
      <c r="M320" s="215"/>
      <c r="N320" s="6"/>
    </row>
    <row r="321" spans="1:14" ht="15.75">
      <c r="A321" s="11">
        <f t="shared" si="27"/>
        <v>5</v>
      </c>
      <c r="B321" s="19" t="s">
        <v>933</v>
      </c>
      <c r="C321" s="145" t="s">
        <v>398</v>
      </c>
      <c r="D321" s="19">
        <v>101775</v>
      </c>
      <c r="E321" s="356" t="s">
        <v>934</v>
      </c>
      <c r="F321" s="14">
        <v>52.5</v>
      </c>
      <c r="G321" s="53">
        <v>50</v>
      </c>
      <c r="H321" s="54">
        <v>2.5</v>
      </c>
      <c r="I321" s="14"/>
      <c r="J321" s="18">
        <f t="shared" si="25"/>
        <v>52.5</v>
      </c>
      <c r="K321" s="32"/>
      <c r="L321" s="33">
        <f t="shared" si="26"/>
        <v>0</v>
      </c>
      <c r="M321" s="215"/>
      <c r="N321" s="6"/>
    </row>
    <row r="322" spans="1:14" ht="15.75">
      <c r="A322" s="11">
        <f t="shared" si="27"/>
        <v>6</v>
      </c>
      <c r="B322" s="19" t="s">
        <v>937</v>
      </c>
      <c r="C322" s="145" t="s">
        <v>398</v>
      </c>
      <c r="D322" s="19">
        <v>101764</v>
      </c>
      <c r="E322" s="356" t="s">
        <v>938</v>
      </c>
      <c r="F322" s="14">
        <v>105</v>
      </c>
      <c r="G322" s="53">
        <v>100</v>
      </c>
      <c r="H322" s="54">
        <v>5</v>
      </c>
      <c r="I322" s="14"/>
      <c r="J322" s="18">
        <f>SUM(G322+H322+I322)</f>
        <v>105</v>
      </c>
      <c r="K322" s="32"/>
      <c r="L322" s="33">
        <f>+(F322-((SUM(J322+K322))))</f>
        <v>0</v>
      </c>
      <c r="M322" s="215"/>
      <c r="N322" s="6"/>
    </row>
    <row r="323" spans="1:14" ht="15.75">
      <c r="A323" s="11">
        <f t="shared" si="27"/>
        <v>7</v>
      </c>
      <c r="B323" s="19" t="s">
        <v>738</v>
      </c>
      <c r="C323" s="145" t="s">
        <v>398</v>
      </c>
      <c r="D323" s="19">
        <v>101773</v>
      </c>
      <c r="E323" s="355" t="s">
        <v>739</v>
      </c>
      <c r="F323" s="14">
        <v>52.5</v>
      </c>
      <c r="G323" s="74">
        <v>50</v>
      </c>
      <c r="H323" s="75">
        <v>2.5</v>
      </c>
      <c r="I323" s="14"/>
      <c r="J323" s="18">
        <f t="shared" ref="J323:J324" si="28">SUM(G323+H323+I323)</f>
        <v>52.5</v>
      </c>
      <c r="K323" s="32"/>
      <c r="L323" s="36">
        <f>+(F323-((SUM(J323+K323))))</f>
        <v>0</v>
      </c>
      <c r="M323" s="215"/>
      <c r="N323" s="6"/>
    </row>
    <row r="324" spans="1:14" ht="15.75">
      <c r="A324" s="11">
        <f t="shared" si="27"/>
        <v>8</v>
      </c>
      <c r="B324" s="19" t="s">
        <v>914</v>
      </c>
      <c r="C324" s="145" t="s">
        <v>398</v>
      </c>
      <c r="D324" s="19">
        <v>101329</v>
      </c>
      <c r="E324" s="356" t="s">
        <v>915</v>
      </c>
      <c r="F324" s="14">
        <v>52.5</v>
      </c>
      <c r="G324" s="74">
        <v>50</v>
      </c>
      <c r="H324" s="54">
        <v>2.5</v>
      </c>
      <c r="I324" s="14"/>
      <c r="J324" s="18">
        <f t="shared" si="28"/>
        <v>52.5</v>
      </c>
      <c r="K324" s="32"/>
      <c r="L324" s="33">
        <f>+(F324-((SUM(J324+K324))))</f>
        <v>0</v>
      </c>
      <c r="M324" s="215"/>
      <c r="N324" s="6"/>
    </row>
    <row r="325" spans="1:14" ht="15.75">
      <c r="A325" s="11">
        <f t="shared" si="27"/>
        <v>9</v>
      </c>
      <c r="B325" s="132" t="s">
        <v>706</v>
      </c>
      <c r="C325" s="145" t="s">
        <v>398</v>
      </c>
      <c r="D325" s="197">
        <v>105067</v>
      </c>
      <c r="E325" s="356" t="s">
        <v>1035</v>
      </c>
      <c r="F325" s="14">
        <v>52.5</v>
      </c>
      <c r="G325" s="238">
        <v>50</v>
      </c>
      <c r="H325" s="131">
        <v>2.5</v>
      </c>
      <c r="I325" s="14"/>
      <c r="J325" s="18">
        <f>SUM(G325+H325+I325)</f>
        <v>52.5</v>
      </c>
      <c r="K325" s="32"/>
      <c r="L325" s="33">
        <f>+(F325-((SUM(J325+K325))))</f>
        <v>0</v>
      </c>
      <c r="M325" s="215"/>
      <c r="N325" s="6"/>
    </row>
    <row r="326" spans="1:14" ht="15.75">
      <c r="A326" s="11">
        <f t="shared" si="27"/>
        <v>10</v>
      </c>
      <c r="B326" s="19" t="s">
        <v>935</v>
      </c>
      <c r="C326" s="145" t="s">
        <v>398</v>
      </c>
      <c r="D326" s="19">
        <v>101328</v>
      </c>
      <c r="E326" s="380" t="s">
        <v>936</v>
      </c>
      <c r="F326" s="14">
        <v>52.5</v>
      </c>
      <c r="G326" s="20">
        <v>50</v>
      </c>
      <c r="H326" s="21">
        <v>2.5</v>
      </c>
      <c r="I326" s="14"/>
      <c r="J326" s="18">
        <f>SUM(G326+H326+I326)</f>
        <v>52.5</v>
      </c>
      <c r="K326" s="82"/>
      <c r="L326" s="83">
        <f>+(F326-((SUM(J326+K326))))</f>
        <v>0</v>
      </c>
      <c r="M326" s="37"/>
      <c r="N326" s="6"/>
    </row>
    <row r="327" spans="1:14" ht="21.75" thickBot="1">
      <c r="A327" s="205"/>
      <c r="B327" s="206"/>
      <c r="C327" s="207"/>
      <c r="D327" s="340"/>
      <c r="E327" s="207" t="s">
        <v>474</v>
      </c>
      <c r="F327" s="263">
        <f t="shared" ref="F327:L327" si="29">SUM(F253,F315,F317:F326)</f>
        <v>48023.039999999994</v>
      </c>
      <c r="G327" s="263">
        <f t="shared" si="29"/>
        <v>40635.089999999997</v>
      </c>
      <c r="H327" s="263">
        <f t="shared" si="29"/>
        <v>2039.5600000000004</v>
      </c>
      <c r="I327" s="263">
        <f t="shared" si="29"/>
        <v>2853.7100000000005</v>
      </c>
      <c r="J327" s="263">
        <f t="shared" si="29"/>
        <v>45528.36</v>
      </c>
      <c r="K327" s="263">
        <f t="shared" si="29"/>
        <v>98.600000000000009</v>
      </c>
      <c r="L327" s="263">
        <f t="shared" si="29"/>
        <v>2396.0799999999995</v>
      </c>
      <c r="M327" s="222"/>
      <c r="N327" s="6"/>
    </row>
    <row r="328" spans="1:14" ht="15.75">
      <c r="A328" s="7"/>
      <c r="B328" s="7"/>
      <c r="C328" s="8"/>
      <c r="D328" s="8"/>
      <c r="E328" s="7"/>
      <c r="F328" s="258"/>
      <c r="G328" s="4"/>
      <c r="H328" s="4"/>
      <c r="I328" s="258"/>
      <c r="J328" s="4"/>
      <c r="K328" s="4"/>
      <c r="L328" s="9"/>
      <c r="M328" s="223"/>
      <c r="N328" s="6"/>
    </row>
    <row r="329" spans="1:14" ht="15.75">
      <c r="A329" s="7"/>
      <c r="B329" s="7"/>
      <c r="C329" s="8"/>
      <c r="D329" s="8"/>
      <c r="E329" s="7"/>
      <c r="F329" s="258"/>
      <c r="G329" s="4"/>
      <c r="H329" s="4"/>
      <c r="I329" s="258"/>
      <c r="J329" s="4"/>
      <c r="K329" s="4"/>
      <c r="L329" s="9"/>
      <c r="M329" s="223"/>
      <c r="N329" s="6"/>
    </row>
    <row r="330" spans="1:14" ht="15.75">
      <c r="A330" s="7"/>
      <c r="B330" s="7"/>
      <c r="C330" s="8"/>
      <c r="D330" s="8"/>
      <c r="E330" s="371"/>
      <c r="F330" s="258"/>
      <c r="G330" s="81"/>
      <c r="H330" s="81"/>
      <c r="I330" s="258"/>
      <c r="J330" s="4"/>
      <c r="K330" s="4"/>
      <c r="L330" s="9"/>
      <c r="M330" s="223"/>
      <c r="N330" s="5"/>
    </row>
  </sheetData>
  <autoFilter ref="A2:P327" xr:uid="{DBA97976-7F22-44E8-9EFB-B6682AAEBFCA}"/>
  <mergeCells count="2">
    <mergeCell ref="A1:L1"/>
    <mergeCell ref="M2:M3"/>
  </mergeCells>
  <phoneticPr fontId="51" type="noConversion"/>
  <conditionalFormatting sqref="B150 B59">
    <cfRule type="duplicateValues" dxfId="52" priority="20"/>
  </conditionalFormatting>
  <conditionalFormatting sqref="B208 B142 B60">
    <cfRule type="duplicateValues" dxfId="51" priority="4"/>
  </conditionalFormatting>
  <conditionalFormatting sqref="B229:B231">
    <cfRule type="duplicateValues" dxfId="50" priority="11"/>
  </conditionalFormatting>
  <conditionalFormatting sqref="B232:B234">
    <cfRule type="duplicateValues" dxfId="49" priority="9"/>
  </conditionalFormatting>
  <conditionalFormatting sqref="B274 B146 B126 B64 B201 B92 B62 B235:B236 B238:B248 B116">
    <cfRule type="duplicateValues" dxfId="48" priority="1232"/>
  </conditionalFormatting>
  <conditionalFormatting sqref="B306">
    <cfRule type="duplicateValues" dxfId="47" priority="5"/>
  </conditionalFormatting>
  <conditionalFormatting sqref="B307:B310 B117 B71">
    <cfRule type="duplicateValues" dxfId="46" priority="24"/>
  </conditionalFormatting>
  <conditionalFormatting sqref="B311:B1048576 B237 B249:B273 B275:B305 B1:B58 B61 B63 B65:B70 B72:B91 B147:B149 B151:B200 B93:B115 B118:B125 B127:B141 B143:B145 B202:B207 B209:B228">
    <cfRule type="duplicateValues" dxfId="45" priority="22"/>
  </conditionalFormatting>
  <conditionalFormatting sqref="D1:D1048576">
    <cfRule type="duplicateValues" dxfId="44" priority="2"/>
  </conditionalFormatting>
  <conditionalFormatting sqref="D101:D102">
    <cfRule type="duplicateValues" dxfId="43" priority="16"/>
    <cfRule type="duplicateValues" dxfId="42" priority="17"/>
    <cfRule type="duplicateValues" dxfId="41" priority="18"/>
    <cfRule type="duplicateValues" dxfId="40" priority="19"/>
  </conditionalFormatting>
  <conditionalFormatting sqref="E85">
    <cfRule type="duplicateValues" dxfId="39" priority="6"/>
  </conditionalFormatting>
  <conditionalFormatting sqref="E95">
    <cfRule type="duplicateValues" dxfId="38" priority="14"/>
  </conditionalFormatting>
  <conditionalFormatting sqref="E109">
    <cfRule type="duplicateValues" dxfId="37" priority="7"/>
  </conditionalFormatting>
  <conditionalFormatting sqref="E150 E59">
    <cfRule type="duplicateValues" dxfId="36" priority="21"/>
  </conditionalFormatting>
  <conditionalFormatting sqref="E181">
    <cfRule type="duplicateValues" dxfId="35" priority="1"/>
  </conditionalFormatting>
  <conditionalFormatting sqref="E229:E231">
    <cfRule type="duplicateValues" dxfId="34" priority="12"/>
  </conditionalFormatting>
  <conditionalFormatting sqref="E232:E234">
    <cfRule type="duplicateValues" dxfId="33" priority="10"/>
  </conditionalFormatting>
  <conditionalFormatting sqref="E235:E236 E146 E126 E64 E201 E92 E62 E116 E238:E248">
    <cfRule type="duplicateValues" dxfId="32" priority="1231"/>
  </conditionalFormatting>
  <conditionalFormatting sqref="E289">
    <cfRule type="duplicateValues" dxfId="31" priority="15"/>
  </conditionalFormatting>
  <conditionalFormatting sqref="E299">
    <cfRule type="duplicateValues" dxfId="30" priority="8"/>
  </conditionalFormatting>
  <conditionalFormatting sqref="E306">
    <cfRule type="duplicateValues" dxfId="29" priority="3"/>
  </conditionalFormatting>
  <conditionalFormatting sqref="E326">
    <cfRule type="duplicateValues" dxfId="28" priority="13"/>
  </conditionalFormatting>
  <conditionalFormatting sqref="E327:E330 E89:E91 E93:E94 E180 E290:E298 E200 E2:E58 E96:E108 E65:E70 E72:E84 E300:E305 E147:E149 E151:E178 E184:E198 E110:E115 E86:E87 E127:E145 E202:E228 E60:E61 E63 E307:E325 E237 E117:E125 E249:E288 E182">
    <cfRule type="duplicateValues" dxfId="27" priority="23"/>
  </conditionalFormatting>
  <pageMargins left="0" right="0" top="0.25" bottom="0.5" header="0.3" footer="0.3"/>
  <pageSetup paperSize="9" scale="53" fitToHeight="0" orientation="landscape" horizontalDpi="0" verticalDpi="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64FDD-48B2-4C57-BD47-7B91E3D6D70D}">
  <dimension ref="A1:E22"/>
  <sheetViews>
    <sheetView workbookViewId="0">
      <selection sqref="A1:B22"/>
    </sheetView>
  </sheetViews>
  <sheetFormatPr defaultRowHeight="15"/>
  <cols>
    <col min="2" max="2" width="35.75" customWidth="1"/>
    <col min="4" max="4" width="43.125" customWidth="1"/>
  </cols>
  <sheetData>
    <row r="1" spans="1:5">
      <c r="A1" s="413">
        <v>1</v>
      </c>
      <c r="B1" s="19" t="s">
        <v>926</v>
      </c>
      <c r="C1" s="19">
        <v>105611</v>
      </c>
      <c r="D1" s="356" t="s">
        <v>1108</v>
      </c>
    </row>
    <row r="2" spans="1:5">
      <c r="A2" s="413">
        <v>2</v>
      </c>
      <c r="B2" s="301" t="s">
        <v>1064</v>
      </c>
      <c r="C2" s="197"/>
      <c r="D2" s="412" t="s">
        <v>1065</v>
      </c>
    </row>
    <row r="3" spans="1:5">
      <c r="A3" s="413">
        <v>3</v>
      </c>
      <c r="B3" s="19" t="s">
        <v>826</v>
      </c>
      <c r="C3" s="19">
        <v>105482</v>
      </c>
      <c r="D3" s="379" t="s">
        <v>1042</v>
      </c>
    </row>
    <row r="4" spans="1:5">
      <c r="A4" s="413">
        <v>4</v>
      </c>
      <c r="B4" s="30" t="s">
        <v>1103</v>
      </c>
      <c r="C4" s="19">
        <v>105482</v>
      </c>
      <c r="D4" s="379" t="s">
        <v>1104</v>
      </c>
    </row>
    <row r="5" spans="1:5">
      <c r="A5" s="413">
        <v>5</v>
      </c>
      <c r="B5" s="19" t="s">
        <v>824</v>
      </c>
      <c r="C5" s="19" t="s">
        <v>1029</v>
      </c>
      <c r="D5" s="19">
        <v>101693</v>
      </c>
      <c r="E5" s="355" t="s">
        <v>1030</v>
      </c>
    </row>
    <row r="6" spans="1:5">
      <c r="A6" s="413">
        <v>6</v>
      </c>
      <c r="B6" s="132" t="s">
        <v>1125</v>
      </c>
      <c r="C6" s="407"/>
      <c r="D6" s="407"/>
      <c r="E6" s="408" t="s">
        <v>1126</v>
      </c>
    </row>
    <row r="7" spans="1:5">
      <c r="A7" s="413">
        <v>7</v>
      </c>
      <c r="B7" s="30" t="s">
        <v>1013</v>
      </c>
      <c r="C7" s="19"/>
      <c r="D7" s="19"/>
      <c r="E7" s="390" t="s">
        <v>1014</v>
      </c>
    </row>
    <row r="8" spans="1:5">
      <c r="A8" s="413">
        <v>8</v>
      </c>
      <c r="B8" s="30" t="s">
        <v>1019</v>
      </c>
      <c r="C8" s="19"/>
      <c r="D8" s="19"/>
      <c r="E8" s="392" t="s">
        <v>1092</v>
      </c>
    </row>
    <row r="9" spans="1:5">
      <c r="A9" s="413">
        <v>9</v>
      </c>
      <c r="B9" s="30" t="s">
        <v>1021</v>
      </c>
      <c r="C9" s="19"/>
      <c r="D9" s="19"/>
      <c r="E9" s="392" t="s">
        <v>1093</v>
      </c>
    </row>
    <row r="10" spans="1:5">
      <c r="A10" s="413">
        <v>10</v>
      </c>
      <c r="B10" s="30" t="s">
        <v>1094</v>
      </c>
      <c r="C10" s="19"/>
      <c r="D10" s="19"/>
      <c r="E10" s="392" t="s">
        <v>1096</v>
      </c>
    </row>
    <row r="11" spans="1:5">
      <c r="A11" s="413">
        <v>11</v>
      </c>
      <c r="B11" s="30" t="s">
        <v>1111</v>
      </c>
      <c r="C11" s="19"/>
      <c r="D11" s="19"/>
      <c r="E11" s="392" t="s">
        <v>1112</v>
      </c>
    </row>
    <row r="12" spans="1:5">
      <c r="A12" s="413">
        <v>12</v>
      </c>
      <c r="B12" s="30" t="s">
        <v>1113</v>
      </c>
      <c r="C12" s="19"/>
      <c r="D12" s="19"/>
      <c r="E12" s="392" t="s">
        <v>1114</v>
      </c>
    </row>
    <row r="13" spans="1:5">
      <c r="A13" s="413">
        <v>13</v>
      </c>
      <c r="B13" s="30" t="s">
        <v>1115</v>
      </c>
      <c r="C13" s="19"/>
      <c r="D13" s="19"/>
      <c r="E13" s="392" t="s">
        <v>1116</v>
      </c>
    </row>
    <row r="14" spans="1:5">
      <c r="A14" s="413">
        <v>14</v>
      </c>
      <c r="B14" s="30" t="s">
        <v>1117</v>
      </c>
      <c r="C14" s="19"/>
      <c r="D14" s="19"/>
      <c r="E14" s="392" t="s">
        <v>1118</v>
      </c>
    </row>
    <row r="15" spans="1:5">
      <c r="A15" s="413">
        <v>15</v>
      </c>
      <c r="B15" s="30" t="s">
        <v>1119</v>
      </c>
      <c r="C15" s="19"/>
      <c r="D15" s="19"/>
      <c r="E15" s="392" t="s">
        <v>1120</v>
      </c>
    </row>
    <row r="16" spans="1:5">
      <c r="A16" s="413">
        <v>16</v>
      </c>
      <c r="B16" s="30" t="s">
        <v>1121</v>
      </c>
      <c r="C16" s="19"/>
      <c r="D16" s="19"/>
      <c r="E16" s="392" t="s">
        <v>1122</v>
      </c>
    </row>
    <row r="17" spans="1:5">
      <c r="A17" s="413">
        <v>17</v>
      </c>
      <c r="B17" s="30" t="s">
        <v>1123</v>
      </c>
      <c r="C17" s="19"/>
      <c r="D17" s="19"/>
      <c r="E17" s="392" t="s">
        <v>1124</v>
      </c>
    </row>
    <row r="18" spans="1:5">
      <c r="A18" s="413">
        <v>18</v>
      </c>
      <c r="B18" s="132" t="s">
        <v>1097</v>
      </c>
      <c r="C18" s="19"/>
      <c r="D18" s="19"/>
      <c r="E18" s="389" t="s">
        <v>1098</v>
      </c>
    </row>
    <row r="19" spans="1:5">
      <c r="A19" s="413">
        <v>19</v>
      </c>
      <c r="B19" s="132" t="s">
        <v>1099</v>
      </c>
      <c r="C19" s="19"/>
      <c r="D19" s="19"/>
      <c r="E19" s="389" t="s">
        <v>1100</v>
      </c>
    </row>
    <row r="20" spans="1:5">
      <c r="A20" s="413">
        <v>20</v>
      </c>
      <c r="B20" s="132" t="s">
        <v>1101</v>
      </c>
      <c r="C20" s="19"/>
      <c r="D20" s="19"/>
      <c r="E20" s="389" t="s">
        <v>1102</v>
      </c>
    </row>
    <row r="21" spans="1:5">
      <c r="A21" s="413">
        <v>21</v>
      </c>
      <c r="B21" s="19" t="s">
        <v>669</v>
      </c>
      <c r="C21" s="19" t="s">
        <v>942</v>
      </c>
      <c r="D21" s="19">
        <v>101662</v>
      </c>
      <c r="E21" s="410" t="s">
        <v>262</v>
      </c>
    </row>
    <row r="22" spans="1:5">
      <c r="A22" s="413">
        <v>22</v>
      </c>
      <c r="B22" s="19" t="s">
        <v>943</v>
      </c>
      <c r="C22" s="19" t="s">
        <v>942</v>
      </c>
      <c r="D22" s="19">
        <v>105208</v>
      </c>
      <c r="E22" s="356" t="s">
        <v>944</v>
      </c>
    </row>
  </sheetData>
  <conditionalFormatting sqref="B1">
    <cfRule type="duplicateValues" dxfId="26" priority="26"/>
  </conditionalFormatting>
  <conditionalFormatting sqref="B2">
    <cfRule type="duplicateValues" dxfId="25" priority="24"/>
  </conditionalFormatting>
  <conditionalFormatting sqref="B3">
    <cfRule type="duplicateValues" dxfId="24" priority="19"/>
  </conditionalFormatting>
  <conditionalFormatting sqref="B4">
    <cfRule type="duplicateValues" dxfId="23" priority="21"/>
  </conditionalFormatting>
  <conditionalFormatting sqref="B5">
    <cfRule type="duplicateValues" dxfId="22" priority="16"/>
  </conditionalFormatting>
  <conditionalFormatting sqref="B6">
    <cfRule type="duplicateValues" dxfId="21" priority="13"/>
  </conditionalFormatting>
  <conditionalFormatting sqref="B7:B17">
    <cfRule type="duplicateValues" dxfId="20" priority="11"/>
  </conditionalFormatting>
  <conditionalFormatting sqref="B18:B20">
    <cfRule type="duplicateValues" dxfId="19" priority="8"/>
  </conditionalFormatting>
  <conditionalFormatting sqref="B21">
    <cfRule type="duplicateValues" dxfId="18" priority="5"/>
  </conditionalFormatting>
  <conditionalFormatting sqref="B22">
    <cfRule type="duplicateValues" dxfId="17" priority="2"/>
  </conditionalFormatting>
  <conditionalFormatting sqref="C1">
    <cfRule type="duplicateValues" dxfId="16" priority="25"/>
  </conditionalFormatting>
  <conditionalFormatting sqref="C2">
    <cfRule type="duplicateValues" dxfId="15" priority="22"/>
  </conditionalFormatting>
  <conditionalFormatting sqref="C3:C4">
    <cfRule type="duplicateValues" dxfId="14" priority="18"/>
  </conditionalFormatting>
  <conditionalFormatting sqref="D1">
    <cfRule type="duplicateValues" dxfId="13" priority="27"/>
  </conditionalFormatting>
  <conditionalFormatting sqref="D2">
    <cfRule type="duplicateValues" dxfId="12" priority="23"/>
  </conditionalFormatting>
  <conditionalFormatting sqref="D3:D4">
    <cfRule type="duplicateValues" dxfId="11" priority="20"/>
  </conditionalFormatting>
  <conditionalFormatting sqref="D5">
    <cfRule type="duplicateValues" dxfId="10" priority="15"/>
  </conditionalFormatting>
  <conditionalFormatting sqref="D6">
    <cfRule type="duplicateValues" dxfId="9" priority="12"/>
  </conditionalFormatting>
  <conditionalFormatting sqref="D7:D20">
    <cfRule type="duplicateValues" dxfId="8" priority="7"/>
  </conditionalFormatting>
  <conditionalFormatting sqref="D21">
    <cfRule type="duplicateValues" dxfId="7" priority="4"/>
  </conditionalFormatting>
  <conditionalFormatting sqref="D22">
    <cfRule type="duplicateValues" dxfId="6" priority="1"/>
  </conditionalFormatting>
  <conditionalFormatting sqref="E5">
    <cfRule type="duplicateValues" dxfId="5" priority="17"/>
  </conditionalFormatting>
  <conditionalFormatting sqref="E6">
    <cfRule type="duplicateValues" dxfId="4" priority="14"/>
  </conditionalFormatting>
  <conditionalFormatting sqref="E7:E17">
    <cfRule type="duplicateValues" dxfId="3" priority="10"/>
  </conditionalFormatting>
  <conditionalFormatting sqref="E18:E20">
    <cfRule type="duplicateValues" dxfId="2" priority="9"/>
  </conditionalFormatting>
  <conditionalFormatting sqref="E21">
    <cfRule type="duplicateValues" dxfId="1" priority="6"/>
  </conditionalFormatting>
  <conditionalFormatting sqref="E22"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cd49f49-7082-4e8a-9a24-f7ff9468b3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E39152572E8B49AB7D4C77011749D6" ma:contentTypeVersion="16" ma:contentTypeDescription="Create a new document." ma:contentTypeScope="" ma:versionID="3ef406d8e46b2e0ea122fdc5699657c3">
  <xsd:schema xmlns:xsd="http://www.w3.org/2001/XMLSchema" xmlns:xs="http://www.w3.org/2001/XMLSchema" xmlns:p="http://schemas.microsoft.com/office/2006/metadata/properties" xmlns:ns3="1cd49f49-7082-4e8a-9a24-f7ff9468b365" xmlns:ns4="688b3d5e-b28a-4eca-8e68-8a851e7fca05" targetNamespace="http://schemas.microsoft.com/office/2006/metadata/properties" ma:root="true" ma:fieldsID="53604e91fd2b83717df4fe2f4ec7cd0c" ns3:_="" ns4:_="">
    <xsd:import namespace="1cd49f49-7082-4e8a-9a24-f7ff9468b365"/>
    <xsd:import namespace="688b3d5e-b28a-4eca-8e68-8a851e7fca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d49f49-7082-4e8a-9a24-f7ff9468b3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8b3d5e-b28a-4eca-8e68-8a851e7fca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08B530-1E12-4A80-AC74-12074EF0ED7C}"/>
</file>

<file path=customXml/itemProps2.xml><?xml version="1.0" encoding="utf-8"?>
<ds:datastoreItem xmlns:ds="http://schemas.openxmlformats.org/officeDocument/2006/customXml" ds:itemID="{0CE86292-5549-4203-BAE1-96D7922C1BE3}"/>
</file>

<file path=customXml/itemProps3.xml><?xml version="1.0" encoding="utf-8"?>
<ds:datastoreItem xmlns:ds="http://schemas.openxmlformats.org/officeDocument/2006/customXml" ds:itemID="{3A93145F-43F8-426A-8245-8E0FF664BB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RECEPTION JAFZA</dc:creator>
  <cp:keywords/>
  <dc:description/>
  <cp:lastModifiedBy>Jad Sakour</cp:lastModifiedBy>
  <cp:revision/>
  <dcterms:created xsi:type="dcterms:W3CDTF">2023-01-16T02:41:00Z</dcterms:created>
  <dcterms:modified xsi:type="dcterms:W3CDTF">2026-06-08T07:07:24Z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15A0A97358DF4C25A7816EB32AD0F55F_13</vt:lpwstr>
  </property>
  <property fmtid="{D5CDD505-2E9C-101B-9397-08002B2CF9AE}" pid="3" name="ContentTypeId">
    <vt:lpwstr>0x01010039E39152572E8B49AB7D4C77011749D6</vt:lpwstr>
  </property>
  <property fmtid="{D5CDD505-2E9C-101B-9397-08002B2CF9AE}" pid="4" name="KSOProductBuildVer">
    <vt:lpwstr>1033-12.2.0.20326</vt:lpwstr>
  </property>
</Properties>
</file>